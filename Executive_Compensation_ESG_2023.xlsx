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tumde-my.sharepoint.com/personal/l_ballof_tum_de/Documents/TUM Science - Hackathon/03 Daten/2023/"/>
    </mc:Choice>
  </mc:AlternateContent>
  <xr:revisionPtr revIDLastSave="378" documentId="8_{C0AE1469-4BFA-4FA9-AD43-71A7BC7C4687}" xr6:coauthVersionLast="47" xr6:coauthVersionMax="47" xr10:uidLastSave="{06E879A1-74AF-455B-A40F-7BB82A50F8F3}"/>
  <bookViews>
    <workbookView xWindow="-28920" yWindow="-120" windowWidth="29040" windowHeight="17520" xr2:uid="{C5A0C514-4E9C-4725-8154-B11D13C9B6CD}"/>
  </bookViews>
  <sheets>
    <sheet name="02_data"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93" i="5" l="1"/>
  <c r="D93" i="5"/>
  <c r="AD92" i="5"/>
  <c r="D92" i="5"/>
  <c r="AD91" i="5"/>
  <c r="D91" i="5"/>
  <c r="AD90" i="5"/>
  <c r="D90" i="5"/>
  <c r="AD88" i="5"/>
  <c r="I88" i="5"/>
  <c r="G88" i="5"/>
  <c r="D88" i="5"/>
  <c r="AG87" i="5"/>
  <c r="G87" i="5"/>
  <c r="AL86" i="5"/>
  <c r="AD86" i="5"/>
  <c r="Y86" i="5"/>
  <c r="I86" i="5"/>
  <c r="D86" i="5"/>
  <c r="AD85" i="5"/>
  <c r="D85" i="5"/>
  <c r="AY84" i="5"/>
  <c r="AL84" i="5"/>
  <c r="AG84" i="5"/>
  <c r="AD84" i="5"/>
  <c r="D84" i="5"/>
  <c r="AD83" i="5"/>
  <c r="I83" i="5"/>
  <c r="D83" i="5"/>
  <c r="AD80" i="5"/>
  <c r="D80" i="5"/>
  <c r="AY77" i="5"/>
  <c r="G76" i="5"/>
  <c r="I74" i="5"/>
  <c r="AD73" i="5"/>
  <c r="S73" i="5"/>
  <c r="L73" i="5"/>
  <c r="D73" i="5"/>
  <c r="I72" i="5"/>
  <c r="AS71" i="5"/>
  <c r="AL71" i="5"/>
  <c r="I71" i="5"/>
  <c r="AD70" i="5"/>
  <c r="S70" i="5"/>
  <c r="L70" i="5"/>
  <c r="I70" i="5"/>
  <c r="D70" i="5"/>
  <c r="AI68" i="5"/>
  <c r="AN67" i="5"/>
  <c r="N67" i="5"/>
  <c r="AD66" i="5"/>
  <c r="I66" i="5"/>
  <c r="D66" i="5"/>
  <c r="AD64" i="5"/>
  <c r="D64" i="5"/>
  <c r="AI62" i="5"/>
  <c r="AD62" i="5"/>
  <c r="D62" i="5"/>
  <c r="S61" i="5"/>
  <c r="N61" i="5"/>
  <c r="G61" i="5"/>
  <c r="AI60" i="5"/>
  <c r="AD59" i="5"/>
  <c r="G59" i="5"/>
  <c r="D59" i="5"/>
  <c r="AY58" i="5"/>
  <c r="Y58" i="5"/>
  <c r="S57" i="5"/>
  <c r="Q57" i="5"/>
  <c r="N57" i="5"/>
  <c r="I55" i="5"/>
  <c r="AN53" i="5"/>
  <c r="AL53" i="5"/>
  <c r="AI53" i="5"/>
  <c r="AD50" i="5"/>
  <c r="D50" i="5"/>
  <c r="AD48" i="5"/>
  <c r="D48" i="5"/>
  <c r="AD47" i="5"/>
  <c r="G47" i="5"/>
  <c r="D47" i="5"/>
  <c r="AY46" i="5"/>
  <c r="AD46" i="5"/>
  <c r="N46" i="5"/>
  <c r="G46" i="5"/>
  <c r="D46" i="5"/>
  <c r="AD45" i="5"/>
  <c r="D45" i="5"/>
  <c r="AS44" i="5"/>
  <c r="AN44" i="5"/>
  <c r="AI44" i="5"/>
  <c r="AD44" i="5"/>
  <c r="I44" i="5"/>
  <c r="D44" i="5"/>
  <c r="AD30" i="5"/>
  <c r="AD19" i="5"/>
  <c r="D41" i="5"/>
  <c r="AD32" i="5"/>
  <c r="D32" i="5"/>
  <c r="D30" i="5"/>
  <c r="D19" i="5"/>
  <c r="D15" i="5"/>
  <c r="I41" i="5" l="1"/>
  <c r="AY36" i="5"/>
  <c r="AI36" i="5"/>
  <c r="AD36" i="5"/>
  <c r="D36" i="5"/>
  <c r="AI35" i="5"/>
  <c r="AD35" i="5"/>
  <c r="D35" i="5"/>
  <c r="I34" i="5"/>
  <c r="S21" i="5"/>
  <c r="Q21" i="5"/>
  <c r="AD18" i="5"/>
  <c r="D18" i="5"/>
  <c r="AS16" i="5"/>
  <c r="AQ16" i="5"/>
  <c r="AN16" i="5"/>
  <c r="AD16" i="5"/>
  <c r="X16" i="5"/>
  <c r="V16" i="5"/>
  <c r="S16" i="5"/>
  <c r="Q16" i="5"/>
  <c r="G16" i="5"/>
  <c r="D16" i="5"/>
  <c r="AX15" i="5"/>
  <c r="AS15" i="5"/>
  <c r="AL15" i="5"/>
  <c r="AD15" i="5"/>
  <c r="AI10" i="5"/>
  <c r="AD10" i="5"/>
  <c r="Q10" i="5"/>
  <c r="G10" i="5"/>
  <c r="D10" i="5"/>
  <c r="AX9" i="5"/>
  <c r="AS9" i="5"/>
  <c r="AN9" i="5"/>
  <c r="AL9" i="5"/>
  <c r="AD9" i="5"/>
  <c r="D9" i="5"/>
  <c r="AN8" i="5"/>
  <c r="G8" i="5"/>
  <c r="G6" i="5"/>
  <c r="Q4" i="5"/>
  <c r="AX42" i="5"/>
  <c r="AL39" i="5"/>
  <c r="G39" i="5"/>
  <c r="G38" i="5"/>
  <c r="AL37" i="5"/>
  <c r="AD37" i="5"/>
  <c r="G37" i="5"/>
  <c r="D37" i="5"/>
  <c r="AS33" i="5"/>
  <c r="AL33" i="5"/>
  <c r="X32" i="5"/>
  <c r="N32" i="5"/>
  <c r="G32" i="5"/>
  <c r="AI31" i="5"/>
  <c r="I31" i="5"/>
  <c r="I30" i="5"/>
  <c r="G27" i="5"/>
  <c r="AG25" i="5"/>
  <c r="G25" i="5"/>
  <c r="AI24" i="5"/>
  <c r="AD24" i="5"/>
  <c r="I24" i="5"/>
  <c r="G24" i="5"/>
  <c r="D24" i="5"/>
  <c r="AD22" i="5"/>
  <c r="D22" i="5"/>
  <c r="AL20" i="5"/>
  <c r="AS19" i="5"/>
  <c r="AQ19" i="5"/>
  <c r="AG19" i="5"/>
  <c r="N19" i="5"/>
  <c r="L19" i="5"/>
  <c r="AD13" i="5"/>
  <c r="D13" i="5"/>
  <c r="AI12" i="5"/>
  <c r="AG12" i="5"/>
  <c r="AD12" i="5"/>
  <c r="I12" i="5"/>
  <c r="G12" i="5"/>
  <c r="D12" i="5"/>
  <c r="AG7" i="5"/>
  <c r="G7" i="5"/>
  <c r="S5" i="5"/>
  <c r="L5" i="5"/>
  <c r="I5" i="5"/>
  <c r="G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Samuel Kruppa</author>
  </authors>
  <commentList>
    <comment ref="H3" authorId="0" shapeId="0" xr:uid="{ACBF737A-FF26-4F78-988A-F26A5302B0CA}">
      <text>
        <r>
          <rPr>
            <sz val="9"/>
            <color indexed="81"/>
            <rFont val="Tahoma"/>
            <family val="2"/>
          </rPr>
          <t>Only applicable if there are ESG criteria in place</t>
        </r>
      </text>
    </comment>
    <comment ref="K3" authorId="0" shapeId="0" xr:uid="{E6078277-3E60-4EB2-ABBC-03B40FA1CE3B}">
      <text>
        <r>
          <rPr>
            <sz val="9"/>
            <color indexed="81"/>
            <rFont val="Tahoma"/>
            <family val="2"/>
          </rPr>
          <t xml:space="preserve">Including e.g., net-zero targets, CO2 reduction, decarbonization etc. 
</t>
        </r>
      </text>
    </comment>
    <comment ref="L3" authorId="0" shapeId="0" xr:uid="{36C34D0D-9DEA-429A-BA51-D3B6B49B629E}">
      <text>
        <r>
          <rPr>
            <sz val="9"/>
            <color indexed="81"/>
            <rFont val="Tahoma"/>
            <family val="2"/>
          </rPr>
          <t xml:space="preserve">Including e.g., net-zero targets, CO2 reduction, decarbonization etc. 
</t>
        </r>
      </text>
    </comment>
    <comment ref="M3" authorId="0" shapeId="0" xr:uid="{EB030845-F444-4BE5-B1FE-5E8AB8C30AB3}">
      <text>
        <r>
          <rPr>
            <sz val="9"/>
            <color indexed="81"/>
            <rFont val="Tahoma"/>
            <family val="2"/>
          </rPr>
          <t>if remuneration includes other E KPI than emission reduction, if there are several other E KPIs please distinguish each KPI using ";"</t>
        </r>
      </text>
    </comment>
    <comment ref="N3" authorId="0" shapeId="0" xr:uid="{F6CBAEC2-6DC5-4D7A-8406-AFA494FA2B75}">
      <text>
        <r>
          <rPr>
            <sz val="9"/>
            <color indexed="81"/>
            <rFont val="Tahoma"/>
            <family val="2"/>
          </rPr>
          <t>if remuneration includes other E KPI than emission reduction</t>
        </r>
      </text>
    </comment>
    <comment ref="P3" authorId="0" shapeId="0" xr:uid="{4B5A5084-8CC5-44D0-B6DE-101E7467BF68}">
      <text>
        <r>
          <rPr>
            <sz val="9"/>
            <color indexed="81"/>
            <rFont val="Tahoma"/>
            <family val="2"/>
          </rPr>
          <t>Including "Mitarbeiterzufriedenheit", "Mitarbeiterengagement" etc.</t>
        </r>
      </text>
    </comment>
    <comment ref="AI3" authorId="0" shapeId="0" xr:uid="{E4A5BC6D-A454-4B4F-9BB3-B5FEE1D78147}">
      <text>
        <r>
          <rPr>
            <sz val="9"/>
            <color indexed="81"/>
            <rFont val="Tahoma"/>
            <family val="2"/>
          </rPr>
          <t xml:space="preserve">Only for ESG criteria </t>
        </r>
      </text>
    </comment>
    <comment ref="AK3" authorId="0" shapeId="0" xr:uid="{FFBF3BC7-8A52-4D6C-B4D4-42DCA6EFC1D4}">
      <text>
        <r>
          <rPr>
            <sz val="9"/>
            <color indexed="81"/>
            <rFont val="Tahoma"/>
            <family val="2"/>
          </rPr>
          <t xml:space="preserve">Including e.g., net-zero targets, CO2 reduction, decarbonization etc. 
</t>
        </r>
      </text>
    </comment>
    <comment ref="AL3" authorId="0" shapeId="0" xr:uid="{55CB8359-E96E-4D95-A94D-C44CDF8345D0}">
      <text>
        <r>
          <rPr>
            <sz val="9"/>
            <color indexed="81"/>
            <rFont val="Tahoma"/>
            <family val="2"/>
          </rPr>
          <t xml:space="preserve">Including e.g., net-zero targets, CO2 reduction, decarbonization etc. 
</t>
        </r>
      </text>
    </comment>
    <comment ref="AM3" authorId="0" shapeId="0" xr:uid="{EB3CD860-23B9-4AF3-906A-2BDB440452F2}">
      <text>
        <r>
          <rPr>
            <sz val="9"/>
            <color indexed="81"/>
            <rFont val="Tahoma"/>
            <family val="2"/>
          </rPr>
          <t>if remuneration includes other E KPI than emission reduction, if there are several other E KPIs please distinguish each KPI using ";"</t>
        </r>
      </text>
    </comment>
    <comment ref="AN3" authorId="0" shapeId="0" xr:uid="{18C4F600-D97F-4E23-8EB0-AD7FBBF88D12}">
      <text>
        <r>
          <rPr>
            <sz val="9"/>
            <color indexed="81"/>
            <rFont val="Tahoma"/>
            <family val="2"/>
          </rPr>
          <t>if remuneration includes other E KPI than emission reduction</t>
        </r>
      </text>
    </comment>
    <comment ref="AP3" authorId="0" shapeId="0" xr:uid="{603A0D7A-7851-4263-B02E-CF11913D414B}">
      <text>
        <r>
          <rPr>
            <sz val="9"/>
            <color indexed="81"/>
            <rFont val="Tahoma"/>
            <family val="2"/>
          </rPr>
          <t>Including "Mitarbeiterzufriedenheit", "Mitarbeiterengagement" etc.</t>
        </r>
      </text>
    </comment>
    <comment ref="P4" authorId="1" shapeId="0" xr:uid="{3D59CDCD-7598-4B76-8F0B-C79B6CD1B8FE}">
      <text>
        <r>
          <rPr>
            <b/>
            <sz val="9"/>
            <color indexed="81"/>
            <rFont val="Segoe UI"/>
            <charset val="1"/>
          </rPr>
          <t>Samuel Kruppa:</t>
        </r>
        <r>
          <rPr>
            <sz val="9"/>
            <color indexed="81"/>
            <rFont val="Segoe UI"/>
            <charset val="1"/>
          </rPr>
          <t xml:space="preserve">
Verbessertes Mitarbeiter-Engagement, ZE 100%</t>
        </r>
      </text>
    </comment>
    <comment ref="Q4" authorId="1" shapeId="0" xr:uid="{7F1B45FC-CCB3-415D-A2E5-901530C97034}">
      <text>
        <r>
          <rPr>
            <b/>
            <sz val="9"/>
            <color indexed="81"/>
            <rFont val="Segoe UI"/>
            <charset val="1"/>
          </rPr>
          <t>Samuel Kruppa:</t>
        </r>
        <r>
          <rPr>
            <sz val="9"/>
            <color indexed="81"/>
            <rFont val="Segoe UI"/>
            <charset val="1"/>
          </rPr>
          <t xml:space="preserve">
gemittelt nach S.19</t>
        </r>
      </text>
    </comment>
    <comment ref="W4" authorId="1" shapeId="0" xr:uid="{F9880AD9-CF2B-4791-B2C5-B9D6533873E3}">
      <text>
        <r>
          <rPr>
            <b/>
            <sz val="9"/>
            <color indexed="81"/>
            <rFont val="Segoe UI"/>
            <charset val="1"/>
          </rPr>
          <t>Samuel Kruppa:</t>
        </r>
        <r>
          <rPr>
            <sz val="9"/>
            <color indexed="81"/>
            <rFont val="Segoe UI"/>
            <charset val="1"/>
          </rPr>
          <t xml:space="preserve">
ZE je 100%</t>
        </r>
      </text>
    </comment>
    <comment ref="X4" authorId="1" shapeId="0" xr:uid="{DC95EA5F-F420-4A56-8843-C3B46A4DCD9F}">
      <text>
        <r>
          <rPr>
            <b/>
            <sz val="9"/>
            <color indexed="81"/>
            <rFont val="Segoe UI"/>
            <charset val="1"/>
          </rPr>
          <t>Samuel Kruppa:</t>
        </r>
        <r>
          <rPr>
            <sz val="9"/>
            <color indexed="81"/>
            <rFont val="Segoe UI"/>
            <charset val="1"/>
          </rPr>
          <t xml:space="preserve">
je gemittelt nach S.19</t>
        </r>
      </text>
    </comment>
    <comment ref="AM4" authorId="0" shapeId="0" xr:uid="{2CD889B3-A504-4F73-8C04-FAF2F9B62AF8}">
      <text>
        <r>
          <rPr>
            <sz val="9"/>
            <color indexed="81"/>
            <rFont val="Tahoma"/>
            <family val="2"/>
          </rPr>
          <t xml:space="preserve">Zielerreichung 109% 
</t>
        </r>
      </text>
    </comment>
    <comment ref="G5" authorId="1" shapeId="0" xr:uid="{07E18745-3384-4DE9-855A-70EDBAF42D38}">
      <text>
        <r>
          <rPr>
            <b/>
            <sz val="9"/>
            <color indexed="81"/>
            <rFont val="Segoe UI"/>
            <charset val="1"/>
          </rPr>
          <t>Samuel Kruppa:</t>
        </r>
        <r>
          <rPr>
            <sz val="9"/>
            <color indexed="81"/>
            <rFont val="Segoe UI"/>
            <charset val="1"/>
          </rPr>
          <t xml:space="preserve">
je 5% sind E und S zuzuordnen, 5% insgesamt ESG
siehe S.249-251</t>
        </r>
      </text>
    </comment>
    <comment ref="I5" authorId="1" shapeId="0" xr:uid="{39B4E160-190D-45B0-96EE-B70C79A044B4}">
      <text>
        <r>
          <rPr>
            <b/>
            <sz val="9"/>
            <color indexed="81"/>
            <rFont val="Segoe UI"/>
            <charset val="1"/>
          </rPr>
          <t>Samuel Kruppa:</t>
        </r>
        <r>
          <rPr>
            <sz val="9"/>
            <color indexed="81"/>
            <rFont val="Segoe UI"/>
            <charset val="1"/>
          </rPr>
          <t xml:space="preserve">
individual part und common collective component, nach S.243, 249, 250</t>
        </r>
      </text>
    </comment>
    <comment ref="K5" authorId="1" shapeId="0" xr:uid="{24F129E5-7B8F-43E8-BCB8-E8CBBCCE6575}">
      <text>
        <r>
          <rPr>
            <b/>
            <sz val="9"/>
            <color indexed="81"/>
            <rFont val="Segoe UI"/>
            <charset val="1"/>
          </rPr>
          <t>Samuel Kruppa:</t>
        </r>
        <r>
          <rPr>
            <sz val="9"/>
            <color indexed="81"/>
            <rFont val="Segoe UI"/>
            <charset val="1"/>
          </rPr>
          <t xml:space="preserve">
reduction in CO2 emissions, ZE 200%</t>
        </r>
      </text>
    </comment>
    <comment ref="R5" authorId="1" shapeId="0" xr:uid="{5C454ECC-D7C2-47EC-849C-0B5FD736958F}">
      <text>
        <r>
          <rPr>
            <b/>
            <sz val="9"/>
            <color indexed="81"/>
            <rFont val="Segoe UI"/>
            <charset val="1"/>
          </rPr>
          <t>Samuel Kruppa:</t>
        </r>
        <r>
          <rPr>
            <sz val="9"/>
            <color indexed="81"/>
            <rFont val="Segoe UI"/>
            <charset val="1"/>
          </rPr>
          <t xml:space="preserve">
monatliche Anzahl von Arbeitsunfällen mit Arbeitsausfall pro eine Million Arbeitsstunden, die über einen Zeitraum von 12 Monaten gemittelt wird. ZE 43%</t>
        </r>
      </text>
    </comment>
    <comment ref="AI5" authorId="1" shapeId="0" xr:uid="{7055D5FB-AB2E-4208-B7E2-29B561772057}">
      <text>
        <r>
          <rPr>
            <b/>
            <sz val="9"/>
            <color indexed="81"/>
            <rFont val="Segoe UI"/>
            <charset val="1"/>
          </rPr>
          <t>Samuel Kruppa:</t>
        </r>
        <r>
          <rPr>
            <sz val="9"/>
            <color indexed="81"/>
            <rFont val="Segoe UI"/>
            <charset val="1"/>
          </rPr>
          <t xml:space="preserve">
Tranche 2020</t>
        </r>
      </text>
    </comment>
    <comment ref="E6" authorId="1" shapeId="0" xr:uid="{4A03350F-F1E2-40CF-B6A0-680BE62897B4}">
      <text>
        <r>
          <rPr>
            <b/>
            <sz val="9"/>
            <color indexed="81"/>
            <rFont val="Segoe UI"/>
            <charset val="1"/>
          </rPr>
          <t>Samuel Kruppa:</t>
        </r>
        <r>
          <rPr>
            <sz val="9"/>
            <color indexed="81"/>
            <rFont val="Segoe UI"/>
            <charset val="1"/>
          </rPr>
          <t xml:space="preserve">
Nachhaltigkeit, Kundenzufriedenheit, Mitarbeiterzufriedenheit, Führungsqualität</t>
        </r>
      </text>
    </comment>
    <comment ref="G6" authorId="0" shapeId="0" xr:uid="{F2BDD881-E4C5-451C-B093-B9AFD6C2A639}">
      <text>
        <r>
          <rPr>
            <sz val="9"/>
            <color indexed="81"/>
            <rFont val="Tahoma"/>
          </rPr>
          <t xml:space="preserve">Jeder der IBF-Bereiche „Strategische Priorität“, – „Performance (Ressortziele)“, – „Nachhaltigkeitsziele“ ist von signifikanter Jeder der IBF-Bereiche „Strategische Priorität“, – „Performance (Ressortziele)“, – „Nachhaltigkeitsziele“ ist von signifikanter
Bedeutung und hat bei der Bewertung des IBF grundsätzlich ein ähnliches Gewicht. Dennoch sind die einzelnen Indikatoren nicht mit einem vorab festgelegten Prozentsatz gewichtet, so dass die Ermittlung des IBF keiner formelhaften Berechnung unterliegt.
</t>
        </r>
      </text>
    </comment>
    <comment ref="I6" authorId="1" shapeId="0" xr:uid="{981CF2AE-7A32-4F49-A7FE-D5234FA2CFBB}">
      <text>
        <r>
          <rPr>
            <b/>
            <sz val="9"/>
            <color indexed="81"/>
            <rFont val="Segoe UI"/>
            <charset val="1"/>
          </rPr>
          <t>Samuel Kruppa:</t>
        </r>
        <r>
          <rPr>
            <sz val="9"/>
            <color indexed="81"/>
            <rFont val="Segoe UI"/>
            <charset val="1"/>
          </rPr>
          <t xml:space="preserve">
CEO mit BFI von 1,17, S.163</t>
        </r>
      </text>
    </comment>
    <comment ref="K6" authorId="1" shapeId="0" xr:uid="{7DAEFF96-600F-4BE8-AE5E-AE9952404D81}">
      <text>
        <r>
          <rPr>
            <b/>
            <sz val="9"/>
            <color indexed="81"/>
            <rFont val="Segoe UI"/>
            <charset val="1"/>
          </rPr>
          <t>Samuel Kruppa:</t>
        </r>
        <r>
          <rPr>
            <sz val="9"/>
            <color indexed="81"/>
            <rFont val="Segoe UI"/>
            <charset val="1"/>
          </rPr>
          <t xml:space="preserve">
Nachhaltigkeit: gemessen etwa an der Reduktion der Treibhausgasemissionen der Allianz Gesellschaften sowie an der Entwicklung von Plänen zur Reduzierung von CO₂-Emissionen im Rahmen der Kapitalanlage.</t>
        </r>
      </text>
    </comment>
    <comment ref="P6" authorId="1" shapeId="0" xr:uid="{EB71C64C-7C0D-4558-A88E-A8403BE7E958}">
      <text>
        <r>
          <rPr>
            <b/>
            <sz val="9"/>
            <color indexed="81"/>
            <rFont val="Segoe UI"/>
            <charset val="1"/>
          </rPr>
          <t>Samuel Kruppa:</t>
        </r>
        <r>
          <rPr>
            <sz val="9"/>
            <color indexed="81"/>
            <rFont val="Segoe UI"/>
            <charset val="1"/>
          </rPr>
          <t xml:space="preserve">
Mitarbeiterzufriedenheit: Entwicklung Allianz Engagement Survey einschließlich Inclusive Meritocracy Index, Work Well Index Plus.</t>
        </r>
      </text>
    </comment>
    <comment ref="AE6" authorId="1" shapeId="0" xr:uid="{83D3F7CA-3DF7-43EF-94D5-83DC22762FAC}">
      <text>
        <r>
          <rPr>
            <b/>
            <sz val="9"/>
            <color indexed="81"/>
            <rFont val="Segoe UI"/>
            <charset val="1"/>
          </rPr>
          <t>Samuel Kruppa:</t>
        </r>
        <r>
          <rPr>
            <sz val="9"/>
            <color indexed="81"/>
            <rFont val="Segoe UI"/>
            <charset val="1"/>
          </rPr>
          <t xml:space="preserve">
selben 4 wie bei STI dazu noch eine Nachhaltigkeitsprüfung</t>
        </r>
      </text>
    </comment>
    <comment ref="AF6" authorId="1" shapeId="0" xr:uid="{BD9D8C49-4F9B-4AF8-B997-223917D838D4}">
      <text>
        <r>
          <rPr>
            <b/>
            <sz val="9"/>
            <color indexed="81"/>
            <rFont val="Segoe UI"/>
            <charset val="1"/>
          </rPr>
          <t>Samuel Kruppa:</t>
        </r>
        <r>
          <rPr>
            <sz val="9"/>
            <color indexed="81"/>
            <rFont val="Segoe UI"/>
            <charset val="1"/>
          </rPr>
          <t xml:space="preserve">
indv. Beitragsfaktor; Nachhaltigkeitsprüfung</t>
        </r>
      </text>
    </comment>
    <comment ref="AI6" authorId="1" shapeId="0" xr:uid="{4AF7E4D4-5D2D-411D-B6E1-0953AC52DFA9}">
      <text>
        <r>
          <rPr>
            <b/>
            <sz val="9"/>
            <color indexed="81"/>
            <rFont val="Segoe UI"/>
            <charset val="1"/>
          </rPr>
          <t>Samuel Kruppa:</t>
        </r>
        <r>
          <rPr>
            <sz val="9"/>
            <color indexed="81"/>
            <rFont val="Segoe UI"/>
            <charset val="1"/>
          </rPr>
          <t xml:space="preserve">
CEO</t>
        </r>
      </text>
    </comment>
    <comment ref="AK6" authorId="1" shapeId="0" xr:uid="{1EB71867-F95A-4552-99E3-A59A5012A8FA}">
      <text>
        <r>
          <rPr>
            <b/>
            <sz val="9"/>
            <color indexed="81"/>
            <rFont val="Segoe UI"/>
            <charset val="1"/>
          </rPr>
          <t>Samuel Kruppa:</t>
        </r>
        <r>
          <rPr>
            <sz val="9"/>
            <color indexed="81"/>
            <rFont val="Segoe UI"/>
            <charset val="1"/>
          </rPr>
          <t xml:space="preserve">
Nachhaltigkeit: gemessen etwa an der Reduktion der Treibhausgasemissionen der Allianz Gesellschaften sowie an der Entwicklung von Plänen zur Reduzierung von CO₂-Emissionen im Rahmen der Kapitalanlage.</t>
        </r>
      </text>
    </comment>
    <comment ref="AP6" authorId="1" shapeId="0" xr:uid="{8385887F-7D7B-4FD5-881A-90561198B244}">
      <text>
        <r>
          <rPr>
            <b/>
            <sz val="9"/>
            <color indexed="81"/>
            <rFont val="Segoe UI"/>
            <charset val="1"/>
          </rPr>
          <t>Samuel Kruppa:</t>
        </r>
        <r>
          <rPr>
            <sz val="9"/>
            <color indexed="81"/>
            <rFont val="Segoe UI"/>
            <charset val="1"/>
          </rPr>
          <t xml:space="preserve">
Mitarbeiterzufriedenheit: Entwicklung Allianz Engagement Survey einschließlich Inclusive Meritocracy Index, Work Well Index Plus.</t>
        </r>
      </text>
    </comment>
    <comment ref="E7" authorId="1" shapeId="0" xr:uid="{8E487077-F802-4A39-ADE2-94663E9A35F6}">
      <text>
        <r>
          <rPr>
            <b/>
            <sz val="9"/>
            <color indexed="81"/>
            <rFont val="Segoe UI"/>
            <charset val="1"/>
          </rPr>
          <t>Samuel Kruppa:</t>
        </r>
        <r>
          <rPr>
            <sz val="9"/>
            <color indexed="81"/>
            <rFont val="Segoe UI"/>
            <charset val="1"/>
          </rPr>
          <t xml:space="preserve">
es gibt 2 ESG-Ziele im Performance-Faktor: Die Kundenzufriedenheit hat sich auf Basis der letzten Erhebung erneut verbessert (S), Die Führungsposition im Bereich Nachhaltigkeit wurde weiter ausgebaut. Zahlreiche Projekte in den Kategorien CO₂-Reduktion und neue Rohstoffkonzepte konnten erfolgreich umgesetzt sowie eine neue Steuerungsgröße eingeführt werden(E)
</t>
        </r>
      </text>
    </comment>
    <comment ref="F7" authorId="1" shapeId="0" xr:uid="{5B1E1318-E44E-489C-85CB-0E4BDF456B0D}">
      <text>
        <r>
          <rPr>
            <b/>
            <sz val="9"/>
            <color indexed="81"/>
            <rFont val="Segoe UI"/>
            <family val="2"/>
          </rPr>
          <t>Samuel Kruppa:</t>
        </r>
        <r>
          <rPr>
            <sz val="9"/>
            <color indexed="81"/>
            <rFont val="Segoe UI"/>
            <family val="2"/>
          </rPr>
          <t xml:space="preserve">
Performance-Faktor von 0 bis 1,5</t>
        </r>
      </text>
    </comment>
    <comment ref="G7" authorId="1" shapeId="0" xr:uid="{2519F842-9D7E-4EAF-BF66-0F8CE721AE93}">
      <text>
        <r>
          <rPr>
            <b/>
            <sz val="9"/>
            <color indexed="81"/>
            <rFont val="Segoe UI"/>
            <charset val="1"/>
          </rPr>
          <t>Samuel Kruppa:</t>
        </r>
        <r>
          <rPr>
            <sz val="9"/>
            <color indexed="81"/>
            <rFont val="Segoe UI"/>
            <charset val="1"/>
          </rPr>
          <t xml:space="preserve">
2 von 8 sind ESG-Ziele im Performance Faktor, S.8 </t>
        </r>
      </text>
    </comment>
    <comment ref="K7" authorId="1" shapeId="0" xr:uid="{7B59DB6D-635B-4524-BA23-CBCCAA72F75F}">
      <text>
        <r>
          <rPr>
            <b/>
            <sz val="9"/>
            <color indexed="81"/>
            <rFont val="Segoe UI"/>
            <charset val="1"/>
          </rPr>
          <t>Samuel Kruppa:</t>
        </r>
        <r>
          <rPr>
            <sz val="9"/>
            <color indexed="81"/>
            <rFont val="Segoe UI"/>
            <charset val="1"/>
          </rPr>
          <t xml:space="preserve">
CO2-Reduktion und neue Rohstoffkonzepte</t>
        </r>
      </text>
    </comment>
    <comment ref="AG7" authorId="1" shapeId="0" xr:uid="{72ECB13F-D211-480B-A1E2-8067B49390C9}">
      <text>
        <r>
          <rPr>
            <b/>
            <sz val="9"/>
            <color indexed="81"/>
            <rFont val="Segoe UI"/>
            <charset val="1"/>
          </rPr>
          <t>Samuel Kruppa:</t>
        </r>
        <r>
          <rPr>
            <sz val="9"/>
            <color indexed="81"/>
            <rFont val="Segoe UI"/>
            <charset val="1"/>
          </rPr>
          <t xml:space="preserve">
gemittelt, 3 Kennziffern für LTI: Absatzwachstum; EBITDA; CO2-Äquivalente (E)
S. 8</t>
        </r>
      </text>
    </comment>
    <comment ref="AI7" authorId="1" shapeId="0" xr:uid="{9D6EBDE9-5DDE-40BA-91D0-7640FF2B4DCD}">
      <text>
        <r>
          <rPr>
            <b/>
            <sz val="9"/>
            <color indexed="81"/>
            <rFont val="Segoe UI"/>
            <charset val="1"/>
          </rPr>
          <t>Samuel Kruppa:</t>
        </r>
        <r>
          <rPr>
            <sz val="9"/>
            <color indexed="81"/>
            <rFont val="Segoe UI"/>
            <charset val="1"/>
          </rPr>
          <t xml:space="preserve">
Tranche 20-23</t>
        </r>
      </text>
    </comment>
    <comment ref="AK7" authorId="1" shapeId="0" xr:uid="{30DAE756-B24E-469E-8DB3-C419C24ECBBA}">
      <text>
        <r>
          <rPr>
            <b/>
            <sz val="9"/>
            <color indexed="81"/>
            <rFont val="Segoe UI"/>
            <charset val="1"/>
          </rPr>
          <t>Samuel Kruppa:</t>
        </r>
        <r>
          <rPr>
            <sz val="9"/>
            <color indexed="81"/>
            <rFont val="Segoe UI"/>
            <charset val="1"/>
          </rPr>
          <t xml:space="preserve">
CO2 Reduktion, ZE 200%</t>
        </r>
      </text>
    </comment>
    <comment ref="E8" authorId="1" shapeId="0" xr:uid="{A9C6085F-31AB-49BA-B5B6-33304E5AA233}">
      <text>
        <r>
          <rPr>
            <b/>
            <sz val="9"/>
            <color indexed="81"/>
            <rFont val="Segoe UI"/>
            <charset val="1"/>
          </rPr>
          <t>Samuel Kruppa:</t>
        </r>
        <r>
          <rPr>
            <sz val="9"/>
            <color indexed="81"/>
            <rFont val="Segoe UI"/>
            <charset val="1"/>
          </rPr>
          <t xml:space="preserve">
Beschäftigtenengagement; Engangment für Gesundheit und Sicherheit der MA; Inklusion und Vielfalt; Nachhaltigkeitsversprechen einhalten</t>
        </r>
      </text>
    </comment>
    <comment ref="F8" authorId="1" shapeId="0" xr:uid="{ED7674C0-F863-4E32-9862-7E6BCAF5B1F0}">
      <text>
        <r>
          <rPr>
            <b/>
            <sz val="9"/>
            <color indexed="81"/>
            <rFont val="Segoe UI"/>
            <family val="2"/>
          </rPr>
          <t>Samuel Kruppa:</t>
        </r>
        <r>
          <rPr>
            <sz val="9"/>
            <color indexed="81"/>
            <rFont val="Segoe UI"/>
            <family val="2"/>
          </rPr>
          <t xml:space="preserve">
Performance-Faktor von 0,8 bis 1,2</t>
        </r>
      </text>
    </comment>
    <comment ref="G8" authorId="1" shapeId="0" xr:uid="{DAE7DB3D-FED1-4CC1-A071-BA58DE396442}">
      <text>
        <r>
          <rPr>
            <b/>
            <sz val="9"/>
            <color indexed="81"/>
            <rFont val="Segoe UI"/>
            <charset val="1"/>
          </rPr>
          <t>Samuel Kruppa:</t>
        </r>
        <r>
          <rPr>
            <sz val="9"/>
            <color indexed="81"/>
            <rFont val="Segoe UI"/>
            <charset val="1"/>
          </rPr>
          <t xml:space="preserve">
CEO, Performance Faktor hat insgesamt (Team- und indv. Ziele) 13 Ziele, davon 4 ESG</t>
        </r>
      </text>
    </comment>
    <comment ref="I8" authorId="1" shapeId="0" xr:uid="{E0F81150-69DC-4351-8F83-A9ACABF3E5EC}">
      <text>
        <r>
          <rPr>
            <b/>
            <sz val="9"/>
            <color indexed="81"/>
            <rFont val="Segoe UI"/>
            <charset val="1"/>
          </rPr>
          <t>Samuel Kruppa:</t>
        </r>
        <r>
          <rPr>
            <sz val="9"/>
            <color indexed="81"/>
            <rFont val="Segoe UI"/>
            <charset val="1"/>
          </rPr>
          <t xml:space="preserve">
CEO</t>
        </r>
      </text>
    </comment>
    <comment ref="P8" authorId="1" shapeId="0" xr:uid="{EB656B5C-70BB-4ED4-91EF-35759E182722}">
      <text>
        <r>
          <rPr>
            <b/>
            <sz val="9"/>
            <color indexed="81"/>
            <rFont val="Segoe UI"/>
            <charset val="1"/>
          </rPr>
          <t>Samuel Kruppa:</t>
        </r>
        <r>
          <rPr>
            <sz val="9"/>
            <color indexed="81"/>
            <rFont val="Segoe UI"/>
            <charset val="1"/>
          </rPr>
          <t xml:space="preserve">
Beschäftigtenengagement steigern und Performance-Kultur fördern</t>
        </r>
      </text>
    </comment>
    <comment ref="AI8" authorId="1" shapeId="0" xr:uid="{7094DD38-D57C-4255-AE19-A3CCECBC7C0B}">
      <text>
        <r>
          <rPr>
            <b/>
            <sz val="9"/>
            <color indexed="81"/>
            <rFont val="Segoe UI"/>
            <charset val="1"/>
          </rPr>
          <t>Samuel Kruppa:</t>
        </r>
        <r>
          <rPr>
            <sz val="9"/>
            <color indexed="81"/>
            <rFont val="Segoe UI"/>
            <charset val="1"/>
          </rPr>
          <t xml:space="preserve">
Tranche 20-23</t>
        </r>
      </text>
    </comment>
    <comment ref="AK8" authorId="1" shapeId="0" xr:uid="{C9E33026-4762-49E9-B8B8-04CDBF77BD7F}">
      <text>
        <r>
          <rPr>
            <b/>
            <sz val="9"/>
            <color indexed="81"/>
            <rFont val="Segoe UI"/>
            <charset val="1"/>
          </rPr>
          <t>Samuel Kruppa:</t>
        </r>
        <r>
          <rPr>
            <sz val="9"/>
            <color indexed="81"/>
            <rFont val="Segoe UI"/>
            <charset val="1"/>
          </rPr>
          <t xml:space="preserve">
2 getrennte Ziele: Reduktion Scope 1,2; Reduktion Scope 3</t>
        </r>
      </text>
    </comment>
    <comment ref="AL8" authorId="1" shapeId="0" xr:uid="{18451DE0-F9A8-4F2E-A965-2EFC091069A9}">
      <text>
        <r>
          <rPr>
            <b/>
            <sz val="9"/>
            <color indexed="81"/>
            <rFont val="Segoe UI"/>
            <charset val="1"/>
          </rPr>
          <t>Samuel Kruppa:</t>
        </r>
        <r>
          <rPr>
            <sz val="9"/>
            <color indexed="81"/>
            <rFont val="Segoe UI"/>
            <charset val="1"/>
          </rPr>
          <t xml:space="preserve">
S. 21
Scope 1,2 von scope 3 getrennt, hier addiert</t>
        </r>
      </text>
    </comment>
    <comment ref="AN8" authorId="1" shapeId="0" xr:uid="{36D4FCBD-8AA5-43BA-84AC-4E9A9EFBB220}">
      <text>
        <r>
          <rPr>
            <b/>
            <sz val="9"/>
            <color indexed="81"/>
            <rFont val="Segoe UI"/>
            <charset val="1"/>
          </rPr>
          <t>Samuel Kruppa:</t>
        </r>
        <r>
          <rPr>
            <sz val="9"/>
            <color indexed="81"/>
            <rFont val="Segoe UI"/>
            <charset val="1"/>
          </rPr>
          <t xml:space="preserve">
S. 21
</t>
        </r>
      </text>
    </comment>
    <comment ref="AS8" authorId="1" shapeId="0" xr:uid="{A1A061EC-1D97-4256-B4A6-41E906CDBFB6}">
      <text>
        <r>
          <rPr>
            <b/>
            <sz val="9"/>
            <color indexed="81"/>
            <rFont val="Segoe UI"/>
            <charset val="1"/>
          </rPr>
          <t>Samuel Kruppa:</t>
        </r>
        <r>
          <rPr>
            <sz val="9"/>
            <color indexed="81"/>
            <rFont val="Segoe UI"/>
            <charset val="1"/>
          </rPr>
          <t xml:space="preserve">
(1/6)*20 =3,33
siehe S.20-21</t>
        </r>
      </text>
    </comment>
    <comment ref="D9" authorId="1" shapeId="0" xr:uid="{885B13C8-5A7A-447A-A793-0B00BB4697A7}">
      <text>
        <r>
          <rPr>
            <b/>
            <sz val="9"/>
            <color indexed="81"/>
            <rFont val="Segoe UI"/>
            <charset val="1"/>
          </rPr>
          <t>Samuel Kruppa:</t>
        </r>
        <r>
          <rPr>
            <sz val="9"/>
            <color indexed="81"/>
            <rFont val="Segoe UI"/>
            <charset val="1"/>
          </rPr>
          <t xml:space="preserve">
es ist eine Spanne von 15-28% angegeben</t>
        </r>
      </text>
    </comment>
    <comment ref="G9" authorId="1" shapeId="0" xr:uid="{2A7712CD-8B85-4A43-80DC-90D6B6ABAF62}">
      <text>
        <r>
          <rPr>
            <b/>
            <sz val="9"/>
            <color indexed="81"/>
            <rFont val="Segoe UI"/>
            <charset val="1"/>
          </rPr>
          <t>Samuel Kruppa:</t>
        </r>
        <r>
          <rPr>
            <sz val="9"/>
            <color indexed="81"/>
            <rFont val="Segoe UI"/>
            <charset val="1"/>
          </rPr>
          <t xml:space="preserve">
CEO</t>
        </r>
      </text>
    </comment>
    <comment ref="H9" authorId="1" shapeId="0" xr:uid="{19267835-CD9F-4FFC-9BC9-035B50F67C6A}">
      <text>
        <r>
          <rPr>
            <b/>
            <sz val="9"/>
            <color indexed="81"/>
            <rFont val="Segoe UI"/>
            <charset val="1"/>
          </rPr>
          <t>Samuel Kruppa:</t>
        </r>
        <r>
          <rPr>
            <sz val="9"/>
            <color indexed="81"/>
            <rFont val="Segoe UI"/>
            <charset val="1"/>
          </rPr>
          <t xml:space="preserve">
individuelle Ziele unterscheiden sich</t>
        </r>
      </text>
    </comment>
    <comment ref="I9" authorId="1" shapeId="0" xr:uid="{E969B38E-3B21-48A8-95C0-056BBBB677E7}">
      <text>
        <r>
          <rPr>
            <b/>
            <sz val="9"/>
            <color indexed="81"/>
            <rFont val="Segoe UI"/>
            <charset val="1"/>
          </rPr>
          <t>Samuel Kruppa:</t>
        </r>
        <r>
          <rPr>
            <sz val="9"/>
            <color indexed="81"/>
            <rFont val="Segoe UI"/>
            <charset val="1"/>
          </rPr>
          <t xml:space="preserve">
CEO</t>
        </r>
      </text>
    </comment>
    <comment ref="P9" authorId="1" shapeId="0" xr:uid="{046488E6-3477-43D3-B01A-5750F2D19614}">
      <text>
        <r>
          <rPr>
            <b/>
            <sz val="9"/>
            <color indexed="81"/>
            <rFont val="Segoe UI"/>
            <charset val="1"/>
          </rPr>
          <t>Samuel Kruppa:</t>
        </r>
        <r>
          <rPr>
            <sz val="9"/>
            <color indexed="81"/>
            <rFont val="Segoe UI"/>
            <charset val="1"/>
          </rPr>
          <t xml:space="preserve">
Verbesserung des Mitarbeiterengagements in Bezug auf spezifische Themen wie „Lernen und Wachsen“ und „Offene Kommunikation“, um durchschnittlich 1,0 Punkte (Gatekeeper: Bereitstellung von qualitativ hochwertigen Entwicklungsplänen).</t>
        </r>
      </text>
    </comment>
    <comment ref="AD9" authorId="1" shapeId="0" xr:uid="{4C5B2F5A-F370-465D-AD92-9AF32648BF2B}">
      <text>
        <r>
          <rPr>
            <b/>
            <sz val="9"/>
            <color indexed="81"/>
            <rFont val="Segoe UI"/>
            <charset val="1"/>
          </rPr>
          <t>Samuel Kruppa:</t>
        </r>
        <r>
          <rPr>
            <sz val="9"/>
            <color indexed="81"/>
            <rFont val="Segoe UI"/>
            <charset val="1"/>
          </rPr>
          <t xml:space="preserve">
Spanne von 28-56% angegeben (LTI und MAB (Mehrjahresbonus)</t>
        </r>
      </text>
    </comment>
    <comment ref="AI9" authorId="1" shapeId="0" xr:uid="{1BAFC9E2-1B05-40CC-BF35-FCFB242C8D29}">
      <text>
        <r>
          <rPr>
            <b/>
            <sz val="9"/>
            <color indexed="81"/>
            <rFont val="Segoe UI"/>
            <charset val="1"/>
          </rPr>
          <t>Samuel Kruppa:</t>
        </r>
        <r>
          <rPr>
            <sz val="9"/>
            <color indexed="81"/>
            <rFont val="Segoe UI"/>
            <charset val="1"/>
          </rPr>
          <t xml:space="preserve">
wird erst nach GJ 2024 festgestellt</t>
        </r>
      </text>
    </comment>
    <comment ref="AL9" authorId="1" shapeId="0" xr:uid="{0D0B5B58-DAA5-4DC1-8295-BA97BFD08C3D}">
      <text>
        <r>
          <rPr>
            <b/>
            <sz val="9"/>
            <color indexed="81"/>
            <rFont val="Segoe UI"/>
            <charset val="1"/>
          </rPr>
          <t>Samuel Kruppa:</t>
        </r>
        <r>
          <rPr>
            <sz val="9"/>
            <color indexed="81"/>
            <rFont val="Segoe UI"/>
            <charset val="1"/>
          </rPr>
          <t xml:space="preserve">
Reduktion der globalen Scope 1, 2 &amp; 3 Emissionen um 20 % (gegenüber 2018), gemittelt nach S.22</t>
        </r>
      </text>
    </comment>
    <comment ref="AN9" authorId="1" shapeId="0" xr:uid="{09C505DD-E33A-4224-80BC-1502AD542F16}">
      <text>
        <r>
          <rPr>
            <b/>
            <sz val="9"/>
            <color indexed="81"/>
            <rFont val="Segoe UI"/>
            <charset val="1"/>
          </rPr>
          <t>Samuel Kruppa:</t>
        </r>
        <r>
          <rPr>
            <sz val="9"/>
            <color indexed="81"/>
            <rFont val="Segoe UI"/>
            <charset val="1"/>
          </rPr>
          <t xml:space="preserve">
gemittelt nach S.22</t>
        </r>
      </text>
    </comment>
    <comment ref="AS9" authorId="1" shapeId="0" xr:uid="{EC31E44C-7D91-4C2B-BA8E-0CA716DB4CCC}">
      <text>
        <r>
          <rPr>
            <b/>
            <sz val="9"/>
            <color indexed="81"/>
            <rFont val="Segoe UI"/>
            <charset val="1"/>
          </rPr>
          <t>Samuel Kruppa:</t>
        </r>
        <r>
          <rPr>
            <sz val="9"/>
            <color indexed="81"/>
            <rFont val="Segoe UI"/>
            <charset val="1"/>
          </rPr>
          <t xml:space="preserve">
gemittelt nach S.22</t>
        </r>
      </text>
    </comment>
    <comment ref="AX9" authorId="1" shapeId="0" xr:uid="{B247116E-BDFC-4D6D-8204-79078BF46D36}">
      <text>
        <r>
          <rPr>
            <b/>
            <sz val="9"/>
            <color indexed="81"/>
            <rFont val="Segoe UI"/>
            <charset val="1"/>
          </rPr>
          <t>Samuel Kruppa:</t>
        </r>
        <r>
          <rPr>
            <sz val="9"/>
            <color indexed="81"/>
            <rFont val="Segoe UI"/>
            <charset val="1"/>
          </rPr>
          <t xml:space="preserve">
gemitellt nach S.22</t>
        </r>
      </text>
    </comment>
    <comment ref="D10" authorId="1" shapeId="0" xr:uid="{E62FC6A6-1B03-47C8-A463-307E4A1770BA}">
      <text>
        <r>
          <rPr>
            <b/>
            <sz val="9"/>
            <color indexed="81"/>
            <rFont val="Segoe UI"/>
            <charset val="1"/>
          </rPr>
          <t>Samuel Kruppa:</t>
        </r>
        <r>
          <rPr>
            <sz val="9"/>
            <color indexed="81"/>
            <rFont val="Segoe UI"/>
            <charset val="1"/>
          </rPr>
          <t xml:space="preserve">
Tantieme, Spanne von 27-30 % angegeben. S.262 </t>
        </r>
      </text>
    </comment>
    <comment ref="E10" authorId="1" shapeId="0" xr:uid="{BE06E84A-2A2D-4AEE-BE1A-310C3E3BCE58}">
      <text>
        <r>
          <rPr>
            <b/>
            <sz val="9"/>
            <color indexed="81"/>
            <rFont val="Segoe UI"/>
            <charset val="1"/>
          </rPr>
          <t>Samuel Kruppa:</t>
        </r>
        <r>
          <rPr>
            <sz val="9"/>
            <color indexed="81"/>
            <rFont val="Segoe UI"/>
            <charset val="1"/>
          </rPr>
          <t xml:space="preserve">
5 ressortübergreifende ESG-Ziele, 2 Gemeinschaftliche Ziele aller Mitglieder der Vorstands, 1 des CEO</t>
        </r>
      </text>
    </comment>
    <comment ref="F10" authorId="1" shapeId="0" xr:uid="{749DAEBB-5A0B-490B-AD14-98F126182DCC}">
      <text>
        <r>
          <rPr>
            <b/>
            <sz val="9"/>
            <color indexed="81"/>
            <rFont val="Segoe UI"/>
            <charset val="1"/>
          </rPr>
          <t>Samuel Kruppa:</t>
        </r>
        <r>
          <rPr>
            <sz val="9"/>
            <color indexed="81"/>
            <rFont val="Segoe UI"/>
            <charset val="1"/>
          </rPr>
          <t xml:space="preserve">
Leistungsfaktor inkl. ESG</t>
        </r>
      </text>
    </comment>
    <comment ref="G10" authorId="1" shapeId="0" xr:uid="{66F09F80-BC55-4B90-8908-D2703EECF4BF}">
      <text>
        <r>
          <rPr>
            <b/>
            <sz val="9"/>
            <color indexed="81"/>
            <rFont val="Segoe UI"/>
            <charset val="1"/>
          </rPr>
          <t>Samuel Kruppa:</t>
        </r>
        <r>
          <rPr>
            <sz val="9"/>
            <color indexed="81"/>
            <rFont val="Segoe UI"/>
            <charset val="1"/>
          </rPr>
          <t xml:space="preserve">
50% der Leistungskomponente der Tantieme, S.268, und 3 von 8 Zielen der gemeinschaftlichen bzw spezifsichen Ressortziele (S. 272)</t>
        </r>
      </text>
    </comment>
    <comment ref="I10" authorId="1" shapeId="0" xr:uid="{B77ACFA0-45B5-4D43-A068-23574FD38264}">
      <text>
        <r>
          <rPr>
            <b/>
            <sz val="9"/>
            <color indexed="81"/>
            <rFont val="Segoe UI"/>
            <charset val="1"/>
          </rPr>
          <t>Samuel Kruppa:</t>
        </r>
        <r>
          <rPr>
            <sz val="9"/>
            <color indexed="81"/>
            <rFont val="Segoe UI"/>
            <charset val="1"/>
          </rPr>
          <t xml:space="preserve">
CEO</t>
        </r>
      </text>
    </comment>
    <comment ref="U10" authorId="1" shapeId="0" xr:uid="{5C7A46E0-D6DC-4313-9063-59EBE6F0526C}">
      <text>
        <r>
          <rPr>
            <sz val="11"/>
            <color theme="1"/>
            <rFont val="Aptos Narrow"/>
            <family val="2"/>
            <scheme val="minor"/>
          </rPr>
          <t>Samuel Kruppa:
Reputation (Corporate Reputation, Compliance-Präventionsleistung) als ressortübergreifendes Ziel und Präventionsleistung Compliance im Ressort als Ressortziel je Vorstandsmitglied</t>
        </r>
      </text>
    </comment>
    <comment ref="AD10" authorId="1" shapeId="0" xr:uid="{CD8463C9-3A61-4405-B97B-4CBA41D1F687}">
      <text>
        <r>
          <rPr>
            <b/>
            <sz val="9"/>
            <color indexed="81"/>
            <rFont val="Segoe UI"/>
            <charset val="1"/>
          </rPr>
          <t>Samuel Kruppa:</t>
        </r>
        <r>
          <rPr>
            <sz val="9"/>
            <color indexed="81"/>
            <rFont val="Segoe UI"/>
            <charset val="1"/>
          </rPr>
          <t xml:space="preserve">
Aktienorientierte Vergütung, Spanne von 31-36 % angegeben. S.262 </t>
        </r>
      </text>
    </comment>
    <comment ref="AI10" authorId="1" shapeId="0" xr:uid="{539ABEBA-6D37-43EE-A344-E88F60D6B784}">
      <text>
        <r>
          <rPr>
            <b/>
            <sz val="9"/>
            <color indexed="81"/>
            <rFont val="Segoe UI"/>
            <charset val="1"/>
          </rPr>
          <t>Samuel Kruppa:</t>
        </r>
        <r>
          <rPr>
            <sz val="9"/>
            <color indexed="81"/>
            <rFont val="Segoe UI"/>
            <charset val="1"/>
          </rPr>
          <t xml:space="preserve">
ESG-Ziele gemittelt, S.277</t>
        </r>
      </text>
    </comment>
    <comment ref="AK10" authorId="1" shapeId="0" xr:uid="{C1F63D9F-73D1-4449-9E9C-36FB5FA4AE5A}">
      <text>
        <r>
          <rPr>
            <b/>
            <sz val="9"/>
            <color indexed="81"/>
            <rFont val="Segoe UI"/>
            <charset val="1"/>
          </rPr>
          <t>Samuel Kruppa:</t>
        </r>
        <r>
          <rPr>
            <sz val="9"/>
            <color indexed="81"/>
            <rFont val="Segoe UI"/>
            <charset val="1"/>
          </rPr>
          <t xml:space="preserve">
Reduktion C02.Flottenemissionen EU, ZE 167%</t>
        </r>
      </text>
    </comment>
    <comment ref="AL10" authorId="1" shapeId="0" xr:uid="{C95481FA-66F5-402C-8F57-DA52FA66BE10}">
      <text>
        <r>
          <rPr>
            <b/>
            <sz val="9"/>
            <color indexed="81"/>
            <rFont val="Segoe UI"/>
            <charset val="1"/>
          </rPr>
          <t>Samuel Kruppa:</t>
        </r>
        <r>
          <rPr>
            <sz val="9"/>
            <color indexed="81"/>
            <rFont val="Segoe UI"/>
            <charset val="1"/>
          </rPr>
          <t xml:space="preserve">
Gewichtet mit 25% des Faktors</t>
        </r>
      </text>
    </comment>
    <comment ref="AM10" authorId="1" shapeId="0" xr:uid="{BF9A04F0-E914-4625-A759-7F23821EFD1B}">
      <text>
        <r>
          <rPr>
            <b/>
            <sz val="9"/>
            <color indexed="81"/>
            <rFont val="Segoe UI"/>
            <charset val="1"/>
          </rPr>
          <t>Samuel Kruppa:</t>
        </r>
        <r>
          <rPr>
            <sz val="9"/>
            <color indexed="81"/>
            <rFont val="Segoe UI"/>
            <charset val="1"/>
          </rPr>
          <t xml:space="preserve">
ZE 97%</t>
        </r>
      </text>
    </comment>
    <comment ref="AN10" authorId="1" shapeId="0" xr:uid="{AFD3458F-0B47-4203-A709-BEE4ABF0B4C8}">
      <text>
        <r>
          <rPr>
            <b/>
            <sz val="9"/>
            <color indexed="81"/>
            <rFont val="Segoe UI"/>
            <charset val="1"/>
          </rPr>
          <t>Samuel Kruppa:</t>
        </r>
        <r>
          <rPr>
            <sz val="9"/>
            <color indexed="81"/>
            <rFont val="Segoe UI"/>
            <charset val="1"/>
          </rPr>
          <t xml:space="preserve">
Gewichtet mit 25% des Faktors</t>
        </r>
      </text>
    </comment>
    <comment ref="D11" authorId="1" shapeId="0" xr:uid="{5A81834A-65FC-44EC-8E31-27D99BF557CC}">
      <text>
        <r>
          <rPr>
            <b/>
            <sz val="9"/>
            <color indexed="81"/>
            <rFont val="Segoe UI"/>
            <charset val="1"/>
          </rPr>
          <t>Samuel Kruppa:</t>
        </r>
        <r>
          <rPr>
            <sz val="9"/>
            <color indexed="81"/>
            <rFont val="Segoe UI"/>
            <charset val="1"/>
          </rPr>
          <t xml:space="preserve">
CEO, S.54</t>
        </r>
      </text>
    </comment>
    <comment ref="F11" authorId="1" shapeId="0" xr:uid="{B543AB31-D128-4B77-82B4-48D3EAD18FD6}">
      <text>
        <r>
          <rPr>
            <b/>
            <sz val="9"/>
            <color indexed="81"/>
            <rFont val="Segoe UI"/>
            <charset val="1"/>
          </rPr>
          <t>Samuel Kruppa:</t>
        </r>
        <r>
          <rPr>
            <sz val="9"/>
            <color indexed="81"/>
            <rFont val="Segoe UI"/>
            <charset val="1"/>
          </rPr>
          <t xml:space="preserve">
Individueller
Leistungsmultiplikator
(0,8 bis 1,2)</t>
        </r>
      </text>
    </comment>
    <comment ref="G11" authorId="1" shapeId="0" xr:uid="{33B03BB1-A07E-40A4-86E3-39173F3D1B62}">
      <text>
        <r>
          <rPr>
            <b/>
            <sz val="9"/>
            <color indexed="81"/>
            <rFont val="Segoe UI"/>
            <charset val="1"/>
          </rPr>
          <t>Samuel Kruppa:</t>
        </r>
        <r>
          <rPr>
            <sz val="9"/>
            <color indexed="81"/>
            <rFont val="Segoe UI"/>
            <charset val="1"/>
          </rPr>
          <t xml:space="preserve">
Individueller
Leistungsmultiplikator
(0,8 bis 1,2). Um die individuelle Leistung zu messen, definiert der Aufsichtsrat
individuelle Leistungsaspekte, um den persönlichen
Beitrag jedes Vorstandsmitglieds zu bewerten. Die individuellen
Leistungsaspekte können auf den drei Dimensionen
Wachstum, Beschäftigte und Risikomanagement beruhen.
Sie können sowohl strategische und operative als auch nichtfinanzielle
Aspekte beinhalten, da der Aufsichtsrat auch diese
Aspekte als wichtig für die Strategie und den Erfolg von
Brenntag ansieht und honorieren möchte.</t>
        </r>
      </text>
    </comment>
    <comment ref="I11" authorId="1" shapeId="0" xr:uid="{38497314-9722-41A8-8EC1-819DA8293A4B}">
      <text>
        <r>
          <rPr>
            <b/>
            <sz val="9"/>
            <color indexed="81"/>
            <rFont val="Segoe UI"/>
            <charset val="1"/>
          </rPr>
          <t>Samuel Kruppa:</t>
        </r>
        <r>
          <rPr>
            <sz val="9"/>
            <color indexed="81"/>
            <rFont val="Segoe UI"/>
            <charset val="1"/>
          </rPr>
          <t xml:space="preserve">
CEO, auszahlungsschwelle wurde nicht erreicht. S. 67</t>
        </r>
      </text>
    </comment>
    <comment ref="P11" authorId="1" shapeId="0" xr:uid="{92CEA83D-C49F-4844-A4DE-5D7481BEC8ED}">
      <text>
        <r>
          <rPr>
            <b/>
            <sz val="9"/>
            <color indexed="81"/>
            <rFont val="Segoe UI"/>
            <charset val="1"/>
          </rPr>
          <t>Samuel Kruppa:</t>
        </r>
        <r>
          <rPr>
            <sz val="9"/>
            <color indexed="81"/>
            <rFont val="Segoe UI"/>
            <charset val="1"/>
          </rPr>
          <t xml:space="preserve">
Kriterium "Beschäftigte"</t>
        </r>
      </text>
    </comment>
    <comment ref="AD11" authorId="1" shapeId="0" xr:uid="{BD5BFDB7-13E1-4E83-AD70-62A595F8F95D}">
      <text>
        <r>
          <rPr>
            <b/>
            <sz val="9"/>
            <color indexed="81"/>
            <rFont val="Segoe UI"/>
            <charset val="1"/>
          </rPr>
          <t>Samuel Kruppa:</t>
        </r>
        <r>
          <rPr>
            <sz val="9"/>
            <color indexed="81"/>
            <rFont val="Segoe UI"/>
            <charset val="1"/>
          </rPr>
          <t xml:space="preserve">
CEO, S.54</t>
        </r>
      </text>
    </comment>
    <comment ref="AE11" authorId="1" shapeId="0" xr:uid="{80BD0846-CB8D-439D-81C6-C2A505B3D3A0}">
      <text>
        <r>
          <rPr>
            <b/>
            <sz val="9"/>
            <color indexed="81"/>
            <rFont val="Segoe UI"/>
            <charset val="1"/>
          </rPr>
          <t>Samuel Kruppa:</t>
        </r>
        <r>
          <rPr>
            <sz val="9"/>
            <color indexed="81"/>
            <rFont val="Segoe UI"/>
            <charset val="1"/>
          </rPr>
          <t xml:space="preserve">
Es gibt einen ESG-Multiplikator (0,8 - 1,2), der nicht weiter erklärt bzw. keine Unterpunkte angegeben werden.</t>
        </r>
      </text>
    </comment>
    <comment ref="AF11" authorId="1" shapeId="0" xr:uid="{A83C3A24-C220-468E-B738-103006241A5D}">
      <text>
        <r>
          <rPr>
            <b/>
            <sz val="9"/>
            <color indexed="81"/>
            <rFont val="Segoe UI"/>
            <charset val="1"/>
          </rPr>
          <t>Samuel Kruppa:</t>
        </r>
        <r>
          <rPr>
            <sz val="9"/>
            <color indexed="81"/>
            <rFont val="Segoe UI"/>
            <charset val="1"/>
          </rPr>
          <t xml:space="preserve">
Es gibt einen ESG-Multiplikator (0,8 - 1,2), der nicht weiter erklärt bzw. keine Unterpunkte angegeben werden.</t>
        </r>
      </text>
    </comment>
    <comment ref="AI11" authorId="1" shapeId="0" xr:uid="{07D78A74-12E9-413C-8739-1D707A3B9BDB}">
      <text>
        <r>
          <rPr>
            <b/>
            <sz val="9"/>
            <color indexed="81"/>
            <rFont val="Segoe UI"/>
            <charset val="1"/>
          </rPr>
          <t>Samuel Kruppa:</t>
        </r>
        <r>
          <rPr>
            <sz val="9"/>
            <color indexed="81"/>
            <rFont val="Segoe UI"/>
            <charset val="1"/>
          </rPr>
          <t xml:space="preserve">
CEO, Tranche 20-23</t>
        </r>
      </text>
    </comment>
    <comment ref="D12" authorId="1" shapeId="0" xr:uid="{176AF92F-17D9-405C-A897-3254F912C8AB}">
      <text>
        <r>
          <rPr>
            <b/>
            <sz val="9"/>
            <color indexed="81"/>
            <rFont val="Segoe UI"/>
            <charset val="1"/>
          </rPr>
          <t>Samuel Kruppa:</t>
        </r>
        <r>
          <rPr>
            <sz val="9"/>
            <color indexed="81"/>
            <rFont val="Segoe UI"/>
            <charset val="1"/>
          </rPr>
          <t xml:space="preserve">
STI sind 40% der variablen Vergütung, die 50% der gesamten Vergütung ist</t>
        </r>
      </text>
    </comment>
    <comment ref="G12" authorId="1" shapeId="0" xr:uid="{D5C39D71-860F-4072-98AB-D76A5117A756}">
      <text>
        <r>
          <rPr>
            <b/>
            <sz val="9"/>
            <color indexed="81"/>
            <rFont val="Segoe UI"/>
            <charset val="1"/>
          </rPr>
          <t>Samuel Kruppa:</t>
        </r>
        <r>
          <rPr>
            <sz val="9"/>
            <color indexed="81"/>
            <rFont val="Segoe UI"/>
            <charset val="1"/>
          </rPr>
          <t xml:space="preserve">
60% kernziele (davon 20% esg) + 30% Ressortziele (davon 0% esg) + 10% indv. Ziele (davon 30% esg) S.15-22</t>
        </r>
      </text>
    </comment>
    <comment ref="I12" authorId="1" shapeId="0" xr:uid="{1185B084-476C-4E08-AC1C-D8620BF7A09F}">
      <text>
        <r>
          <rPr>
            <b/>
            <sz val="9"/>
            <color indexed="81"/>
            <rFont val="Segoe UI"/>
            <charset val="1"/>
          </rPr>
          <t>Samuel Kruppa:</t>
        </r>
        <r>
          <rPr>
            <sz val="9"/>
            <color indexed="81"/>
            <rFont val="Segoe UI"/>
            <charset val="1"/>
          </rPr>
          <t xml:space="preserve">
CEO, S.18-22</t>
        </r>
      </text>
    </comment>
    <comment ref="K12" authorId="1" shapeId="0" xr:uid="{28A14FB9-63AE-4911-9A1E-DF0E2F07D12C}">
      <text>
        <r>
          <rPr>
            <b/>
            <sz val="9"/>
            <color indexed="81"/>
            <rFont val="Segoe UI"/>
            <charset val="1"/>
          </rPr>
          <t>Samuel Kruppa:</t>
        </r>
        <r>
          <rPr>
            <sz val="9"/>
            <color indexed="81"/>
            <rFont val="Segoe UI"/>
            <charset val="1"/>
          </rPr>
          <t xml:space="preserve">
Reduktion des CO₂-Ausstoßes der SBTi-Portfolien gemäß ESG-Framework (ZE 56%); Reduktion des Gesamt-CO₂-Ausstoßes des eigenen Bankbetriebs der Commerzbank im Inland um 5% (ZE 124%)</t>
        </r>
      </text>
    </comment>
    <comment ref="L12" authorId="1" shapeId="0" xr:uid="{6E779684-0826-481C-B645-AC3124E92394}">
      <text>
        <r>
          <rPr>
            <b/>
            <sz val="9"/>
            <color indexed="81"/>
            <rFont val="Segoe UI"/>
            <charset val="1"/>
          </rPr>
          <t>Samuel Kruppa:</t>
        </r>
        <r>
          <rPr>
            <sz val="9"/>
            <color indexed="81"/>
            <rFont val="Segoe UI"/>
            <charset val="1"/>
          </rPr>
          <t xml:space="preserve">
je 5% der Konzernziele, S. 15. = 0,05*60, gemittelt</t>
        </r>
      </text>
    </comment>
    <comment ref="N12" authorId="1" shapeId="0" xr:uid="{E9DA045A-87AE-4E38-AB48-46C662ECD37C}">
      <text>
        <r>
          <rPr>
            <b/>
            <sz val="9"/>
            <color indexed="81"/>
            <rFont val="Segoe UI"/>
            <charset val="1"/>
          </rPr>
          <t>Samuel Kruppa:</t>
        </r>
        <r>
          <rPr>
            <sz val="9"/>
            <color indexed="81"/>
            <rFont val="Segoe UI"/>
            <charset val="1"/>
          </rPr>
          <t xml:space="preserve">
je 5% der Konzernziele, S. 15. = 0,05*60, gemittelt</t>
        </r>
      </text>
    </comment>
    <comment ref="X12" authorId="1" shapeId="0" xr:uid="{7A08B06E-4C20-40D5-8DAA-4774602E6CAE}">
      <text>
        <r>
          <rPr>
            <b/>
            <sz val="9"/>
            <color indexed="81"/>
            <rFont val="Segoe UI"/>
            <charset val="1"/>
          </rPr>
          <t>Samuel Kruppa:</t>
        </r>
        <r>
          <rPr>
            <sz val="9"/>
            <color indexed="81"/>
            <rFont val="Segoe UI"/>
            <charset val="1"/>
          </rPr>
          <t xml:space="preserve">
gemittelt und *0,1 weil Teil der indv. Ziele</t>
        </r>
      </text>
    </comment>
    <comment ref="AD12" authorId="1" shapeId="0" xr:uid="{DAA2C69D-5ABE-488A-B0CC-D35EF49740B2}">
      <text>
        <r>
          <rPr>
            <b/>
            <sz val="9"/>
            <color indexed="81"/>
            <rFont val="Segoe UI"/>
            <charset val="1"/>
          </rPr>
          <t>Samuel Kruppa:</t>
        </r>
        <r>
          <rPr>
            <sz val="9"/>
            <color indexed="81"/>
            <rFont val="Segoe UI"/>
            <charset val="1"/>
          </rPr>
          <t xml:space="preserve">
LTI sind 60% der variablen Vergütung, die 50% der gesamten Vergütung ist</t>
        </r>
      </text>
    </comment>
    <comment ref="AG12" authorId="1" shapeId="0" xr:uid="{46042E80-58E0-4C7C-8899-19648AF5B128}">
      <text>
        <r>
          <rPr>
            <b/>
            <sz val="9"/>
            <color indexed="81"/>
            <rFont val="Segoe UI"/>
            <charset val="1"/>
          </rPr>
          <t>Samuel Kruppa:</t>
        </r>
        <r>
          <rPr>
            <sz val="9"/>
            <color indexed="81"/>
            <rFont val="Segoe UI"/>
            <charset val="1"/>
          </rPr>
          <t xml:space="preserve">
60% kernziele (davon 20% esg) + 30% Ressortziele (davon 0% esg) + 10% indv. Ziele (davon 30% esg) S.15-22</t>
        </r>
      </text>
    </comment>
    <comment ref="AI12" authorId="1" shapeId="0" xr:uid="{02E5E8AA-857C-47A0-9561-4A2FCF468724}">
      <text>
        <r>
          <rPr>
            <b/>
            <sz val="9"/>
            <color indexed="81"/>
            <rFont val="Segoe UI"/>
            <charset val="1"/>
          </rPr>
          <t>Samuel Kruppa:</t>
        </r>
        <r>
          <rPr>
            <sz val="9"/>
            <color indexed="81"/>
            <rFont val="Segoe UI"/>
            <charset val="1"/>
          </rPr>
          <t xml:space="preserve">
CEO, S.18-22</t>
        </r>
      </text>
    </comment>
    <comment ref="AK12" authorId="1" shapeId="0" xr:uid="{5BAFC5BA-4CC9-4EF1-B007-DC1809ACD50C}">
      <text>
        <r>
          <rPr>
            <b/>
            <sz val="9"/>
            <color indexed="81"/>
            <rFont val="Segoe UI"/>
            <charset val="1"/>
          </rPr>
          <t>Samuel Kruppa:</t>
        </r>
        <r>
          <rPr>
            <sz val="9"/>
            <color indexed="81"/>
            <rFont val="Segoe UI"/>
            <charset val="1"/>
          </rPr>
          <t xml:space="preserve">
Reduktion des CO₂-Ausstoßes der SBTi-Portfolien gemäß ESG-Framework (ZE 56%); Reduktion des Gesamt-CO₂-Ausstoßes des eigenen Bankbetriebs der Commerzbank im Inland um 5% (ZE 124%)</t>
        </r>
      </text>
    </comment>
    <comment ref="AL12" authorId="1" shapeId="0" xr:uid="{0E1A7BFB-0DE7-49EC-8D37-990DE884DF19}">
      <text>
        <r>
          <rPr>
            <b/>
            <sz val="9"/>
            <color indexed="81"/>
            <rFont val="Segoe UI"/>
            <charset val="1"/>
          </rPr>
          <t>Samuel Kruppa:</t>
        </r>
        <r>
          <rPr>
            <sz val="9"/>
            <color indexed="81"/>
            <rFont val="Segoe UI"/>
            <charset val="1"/>
          </rPr>
          <t xml:space="preserve">
je 5% der Konzernziele, S. 15. = 0,05*60, gemittelt</t>
        </r>
      </text>
    </comment>
    <comment ref="AN12" authorId="1" shapeId="0" xr:uid="{F4B4CF63-F9F2-4EA2-A35E-2758CE24E352}">
      <text>
        <r>
          <rPr>
            <b/>
            <sz val="9"/>
            <color indexed="81"/>
            <rFont val="Segoe UI"/>
            <charset val="1"/>
          </rPr>
          <t>Samuel Kruppa:</t>
        </r>
        <r>
          <rPr>
            <sz val="9"/>
            <color indexed="81"/>
            <rFont val="Segoe UI"/>
            <charset val="1"/>
          </rPr>
          <t xml:space="preserve">
je 5% der Konzernziele, S. 15. = 0,05*60, gemittelt</t>
        </r>
      </text>
    </comment>
    <comment ref="AX12" authorId="1" shapeId="0" xr:uid="{56A3415B-3B74-401F-B80E-41BDAB51582D}">
      <text>
        <r>
          <rPr>
            <b/>
            <sz val="9"/>
            <color indexed="81"/>
            <rFont val="Segoe UI"/>
            <charset val="1"/>
          </rPr>
          <t>Samuel Kruppa:</t>
        </r>
        <r>
          <rPr>
            <sz val="9"/>
            <color indexed="81"/>
            <rFont val="Segoe UI"/>
            <charset val="1"/>
          </rPr>
          <t xml:space="preserve">
gemittelt und *0,1 weil Teil der indv. Ziele</t>
        </r>
      </text>
    </comment>
    <comment ref="D13" authorId="1" shapeId="0" xr:uid="{1ADA8886-C613-4987-86BC-44963A9A038D}">
      <text>
        <r>
          <rPr>
            <b/>
            <sz val="9"/>
            <color indexed="81"/>
            <rFont val="Segoe UI"/>
            <charset val="1"/>
          </rPr>
          <t xml:space="preserve">Samuel Kruppa:
</t>
        </r>
        <r>
          <rPr>
            <sz val="9"/>
            <color indexed="81"/>
            <rFont val="Segoe UI"/>
            <family val="2"/>
          </rPr>
          <t>aus Grafik, S.6</t>
        </r>
      </text>
    </comment>
    <comment ref="F13" authorId="1" shapeId="0" xr:uid="{85B69E76-FA23-496F-BADC-17C04ABEACA0}">
      <text>
        <r>
          <rPr>
            <sz val="11"/>
            <color theme="1"/>
            <rFont val="Aptos Narrow"/>
            <family val="2"/>
            <scheme val="minor"/>
          </rPr>
          <t>Samuel Kruppa:
Keine STI ESG Ziele</t>
        </r>
      </text>
    </comment>
    <comment ref="I13" authorId="1" shapeId="0" xr:uid="{E2982948-9001-42A3-9766-5769FCB9D13E}">
      <text>
        <r>
          <rPr>
            <b/>
            <sz val="9"/>
            <color indexed="81"/>
            <rFont val="Segoe UI"/>
            <charset val="1"/>
          </rPr>
          <t>Samuel Kruppa:</t>
        </r>
        <r>
          <rPr>
            <sz val="9"/>
            <color indexed="81"/>
            <rFont val="Segoe UI"/>
            <charset val="1"/>
          </rPr>
          <t xml:space="preserve">
CEO</t>
        </r>
      </text>
    </comment>
    <comment ref="AD13" authorId="1" shapeId="0" xr:uid="{A09B1EA2-0C85-4E38-9F75-D84602C52D0E}">
      <text>
        <r>
          <rPr>
            <b/>
            <sz val="9"/>
            <color indexed="81"/>
            <rFont val="Segoe UI"/>
            <charset val="1"/>
          </rPr>
          <t xml:space="preserve">Samuel Kruppa:
</t>
        </r>
        <r>
          <rPr>
            <sz val="9"/>
            <color indexed="81"/>
            <rFont val="Segoe UI"/>
            <family val="2"/>
          </rPr>
          <t>aus Grafik, S.6</t>
        </r>
      </text>
    </comment>
    <comment ref="AF13" authorId="1" shapeId="0" xr:uid="{924EE402-70C5-4607-979C-75E7FE0895B7}">
      <text>
        <r>
          <rPr>
            <b/>
            <sz val="9"/>
            <color indexed="81"/>
            <rFont val="Segoe UI"/>
            <charset val="1"/>
          </rPr>
          <t>Samuel Kruppa:</t>
        </r>
        <r>
          <rPr>
            <sz val="9"/>
            <color indexed="81"/>
            <rFont val="Segoe UI"/>
            <charset val="1"/>
          </rPr>
          <t xml:space="preserve">
Faktor von 0,7 - 1,3, der allerdings durch 6 KPI errechnet wird, S.8
</t>
        </r>
      </text>
    </comment>
    <comment ref="AI13" authorId="1" shapeId="0" xr:uid="{0CB3C896-D6CF-4294-82BA-808A060A67F8}">
      <text>
        <r>
          <rPr>
            <b/>
            <sz val="9"/>
            <color indexed="81"/>
            <rFont val="Segoe UI"/>
            <family val="2"/>
          </rPr>
          <t>Samuel Kruppa:</t>
        </r>
        <r>
          <rPr>
            <sz val="9"/>
            <color indexed="81"/>
            <rFont val="Segoe UI"/>
            <family val="2"/>
          </rPr>
          <t xml:space="preserve">
S.18, Tranche 20-23</t>
        </r>
      </text>
    </comment>
    <comment ref="AL13" authorId="1" shapeId="0" xr:uid="{FADAA817-C74F-4B72-AFCD-BF84D2E133A5}">
      <text>
        <r>
          <rPr>
            <b/>
            <sz val="9"/>
            <color indexed="81"/>
            <rFont val="Segoe UI"/>
            <charset val="1"/>
          </rPr>
          <t>Samuel Kruppa:</t>
        </r>
        <r>
          <rPr>
            <sz val="9"/>
            <color indexed="81"/>
            <rFont val="Segoe UI"/>
            <charset val="1"/>
          </rPr>
          <t xml:space="preserve">
1 von 6 ESG-Zielen, je erreichtes Ziel erhöht sich der ESG-Faktor um 0,1</t>
        </r>
      </text>
    </comment>
    <comment ref="AN13" authorId="1" shapeId="0" xr:uid="{E43FC61D-D196-4527-A6B2-F4576FE53875}">
      <text>
        <r>
          <rPr>
            <b/>
            <sz val="9"/>
            <color indexed="81"/>
            <rFont val="Segoe UI"/>
            <charset val="1"/>
          </rPr>
          <t>Samuel Kruppa:</t>
        </r>
        <r>
          <rPr>
            <sz val="9"/>
            <color indexed="81"/>
            <rFont val="Segoe UI"/>
            <charset val="1"/>
          </rPr>
          <t xml:space="preserve">
1 von 6 ESG-Zielen, je erreichtes Ziel erhöht sich der ESG-Faktor um 0,1</t>
        </r>
      </text>
    </comment>
    <comment ref="AQ13" authorId="1" shapeId="0" xr:uid="{98425507-C01C-4061-A991-DC84D489A5D2}">
      <text>
        <r>
          <rPr>
            <b/>
            <sz val="9"/>
            <color indexed="81"/>
            <rFont val="Segoe UI"/>
            <charset val="1"/>
          </rPr>
          <t>Samuel Kruppa:</t>
        </r>
        <r>
          <rPr>
            <sz val="9"/>
            <color indexed="81"/>
            <rFont val="Segoe UI"/>
            <charset val="1"/>
          </rPr>
          <t xml:space="preserve">
1 von 6 ESG-Zielen, je erreichtes Ziel erhöht sich der ESG-Faktor um 0,1</t>
        </r>
      </text>
    </comment>
    <comment ref="AR13" authorId="1" shapeId="0" xr:uid="{85AE4383-2BB1-4700-B91C-84B7790FD8A6}">
      <text>
        <r>
          <rPr>
            <b/>
            <sz val="9"/>
            <color indexed="81"/>
            <rFont val="Segoe UI"/>
            <charset val="1"/>
          </rPr>
          <t>Samuel Kruppa:</t>
        </r>
        <r>
          <rPr>
            <sz val="9"/>
            <color indexed="81"/>
            <rFont val="Segoe UI"/>
            <charset val="1"/>
          </rPr>
          <t xml:space="preserve">
3 von 6 ESG-Zielen, je erreichtes Ziel erhöht sich der ESG-Faktor um 0,1</t>
        </r>
      </text>
    </comment>
    <comment ref="AS13" authorId="1" shapeId="0" xr:uid="{5372B7F1-F184-488E-B48F-869299FBCDC0}">
      <text>
        <r>
          <rPr>
            <b/>
            <sz val="9"/>
            <color indexed="81"/>
            <rFont val="Segoe UI"/>
            <charset val="1"/>
          </rPr>
          <t>Samuel Kruppa:</t>
        </r>
        <r>
          <rPr>
            <sz val="9"/>
            <color indexed="81"/>
            <rFont val="Segoe UI"/>
            <charset val="1"/>
          </rPr>
          <t xml:space="preserve">
es gibt 6 ESG-Ziele, je erreichtes Ziel erhöht sich der ESG-Faktor um 0,1</t>
        </r>
      </text>
    </comment>
    <comment ref="AX13" authorId="1" shapeId="0" xr:uid="{2529C990-6ADC-4521-B9D3-4533FC864AC5}">
      <text>
        <r>
          <rPr>
            <b/>
            <sz val="9"/>
            <color indexed="81"/>
            <rFont val="Segoe UI"/>
            <charset val="1"/>
          </rPr>
          <t>Samuel Kruppa:</t>
        </r>
        <r>
          <rPr>
            <sz val="9"/>
            <color indexed="81"/>
            <rFont val="Segoe UI"/>
            <charset val="1"/>
          </rPr>
          <t xml:space="preserve">
es gibt 6 ESG-Ziele, je erreichtes Ziel erhöht sich der ESG-Faktor um 0,1</t>
        </r>
      </text>
    </comment>
    <comment ref="I14" authorId="1" shapeId="0" xr:uid="{EE78901C-BB27-49BF-9263-DF05289C1483}">
      <text>
        <r>
          <rPr>
            <b/>
            <sz val="9"/>
            <color indexed="81"/>
            <rFont val="Segoe UI"/>
            <charset val="1"/>
          </rPr>
          <t>Samuel Kruppa:</t>
        </r>
        <r>
          <rPr>
            <sz val="9"/>
            <color indexed="81"/>
            <rFont val="Segoe UI"/>
            <charset val="1"/>
          </rPr>
          <t xml:space="preserve">
S. 223</t>
        </r>
      </text>
    </comment>
    <comment ref="K14" authorId="1" shapeId="0" xr:uid="{C12EEB12-5F42-4547-B7F9-306AF8FC6CDF}">
      <text>
        <r>
          <rPr>
            <b/>
            <sz val="9"/>
            <color indexed="81"/>
            <rFont val="Segoe UI"/>
            <charset val="1"/>
          </rPr>
          <t>Samuel Kruppa:</t>
        </r>
        <r>
          <rPr>
            <sz val="9"/>
            <color indexed="81"/>
            <rFont val="Segoe UI"/>
            <charset val="1"/>
          </rPr>
          <t xml:space="preserve">
Seit dem Jahr 2022 sind für die Nachhaltigkeitskomponente die
direkten und indirekten Treibhausgasemissionen (CO2-Äquivalente) der Emissionsstufen Scope 1 und 2 der
wesentlichen Standorte maßgeblich</t>
        </r>
      </text>
    </comment>
    <comment ref="AI14" authorId="1" shapeId="0" xr:uid="{C4A02ED6-74E4-4C4D-B760-90E219270FC1}">
      <text>
        <r>
          <rPr>
            <b/>
            <sz val="9"/>
            <color indexed="81"/>
            <rFont val="Segoe UI"/>
            <family val="2"/>
          </rPr>
          <t>Samuel Kruppa:</t>
        </r>
        <r>
          <rPr>
            <sz val="9"/>
            <color indexed="81"/>
            <rFont val="Segoe UI"/>
            <family val="2"/>
          </rPr>
          <t xml:space="preserve">
Tranche 20-23</t>
        </r>
      </text>
    </comment>
    <comment ref="AK14" authorId="1" shapeId="0" xr:uid="{CFB27F24-1AD3-4C39-9F04-288E74954B9D}">
      <text>
        <r>
          <rPr>
            <b/>
            <sz val="9"/>
            <color indexed="81"/>
            <rFont val="Segoe UI"/>
            <family val="2"/>
          </rPr>
          <t>Samuel Kruppa:</t>
        </r>
        <r>
          <rPr>
            <sz val="9"/>
            <color indexed="81"/>
            <rFont val="Segoe UI"/>
            <family val="2"/>
          </rPr>
          <t xml:space="preserve">
CO2-Faktor</t>
        </r>
      </text>
    </comment>
    <comment ref="D15" authorId="1" shapeId="0" xr:uid="{2A6B7284-2B19-4DCC-88F6-EAB3D05F0043}">
      <text>
        <r>
          <rPr>
            <b/>
            <sz val="9"/>
            <color indexed="81"/>
            <rFont val="Segoe UI"/>
            <charset val="1"/>
          </rPr>
          <t>Samuel Kruppa:</t>
        </r>
        <r>
          <rPr>
            <sz val="9"/>
            <color indexed="81"/>
            <rFont val="Segoe UI"/>
            <charset val="1"/>
          </rPr>
          <t xml:space="preserve">
Spanne von 20-34%, S.5</t>
        </r>
      </text>
    </comment>
    <comment ref="M15" authorId="1" shapeId="0" xr:uid="{671DE3E2-8DB0-48BA-BC63-C9C330B04503}">
      <text>
        <r>
          <rPr>
            <b/>
            <sz val="9"/>
            <color indexed="81"/>
            <rFont val="Segoe UI"/>
            <charset val="1"/>
          </rPr>
          <t>Samuel Kruppa:</t>
        </r>
        <r>
          <rPr>
            <sz val="9"/>
            <color indexed="81"/>
            <rFont val="Segoe UI"/>
            <charset val="1"/>
          </rPr>
          <t xml:space="preserve">
ZE 122%</t>
        </r>
      </text>
    </comment>
    <comment ref="P15" authorId="1" shapeId="0" xr:uid="{437C5E19-1DAC-45A9-B551-EEF4674D6C86}">
      <text>
        <r>
          <rPr>
            <b/>
            <sz val="9"/>
            <color indexed="81"/>
            <rFont val="Segoe UI"/>
            <charset val="1"/>
          </rPr>
          <t>Samuel Kruppa:</t>
        </r>
        <r>
          <rPr>
            <sz val="9"/>
            <color indexed="81"/>
            <rFont val="Segoe UI"/>
            <charset val="1"/>
          </rPr>
          <t xml:space="preserve">
Wohlbefinden der MA, ZA 155%</t>
        </r>
      </text>
    </comment>
    <comment ref="AD15" authorId="1" shapeId="0" xr:uid="{1F7C4C5B-F81D-490B-A9BE-3DCD91013BEB}">
      <text>
        <r>
          <rPr>
            <b/>
            <sz val="9"/>
            <color indexed="81"/>
            <rFont val="Segoe UI"/>
            <charset val="1"/>
          </rPr>
          <t>Samuel Kruppa:</t>
        </r>
        <r>
          <rPr>
            <sz val="9"/>
            <color indexed="81"/>
            <rFont val="Segoe UI"/>
            <charset val="1"/>
          </rPr>
          <t xml:space="preserve">
Spanne von 35-50%, S.5</t>
        </r>
      </text>
    </comment>
    <comment ref="AI15" authorId="1" shapeId="0" xr:uid="{455A0D17-615F-47DA-A8C6-A8AD87945AEA}">
      <text>
        <r>
          <rPr>
            <b/>
            <sz val="9"/>
            <color indexed="81"/>
            <rFont val="Segoe UI"/>
            <charset val="1"/>
          </rPr>
          <t>Samuel Kruppa:</t>
        </r>
        <r>
          <rPr>
            <sz val="9"/>
            <color indexed="81"/>
            <rFont val="Segoe UI"/>
            <charset val="1"/>
          </rPr>
          <t xml:space="preserve">
PPSP 2019,das 2023 endete</t>
        </r>
      </text>
    </comment>
    <comment ref="AK15" authorId="1" shapeId="0" xr:uid="{B44FFEB5-3C22-4DE9-A5E1-26C7793DB84D}">
      <text>
        <r>
          <rPr>
            <b/>
            <sz val="9"/>
            <color indexed="81"/>
            <rFont val="Segoe UI"/>
            <charset val="1"/>
          </rPr>
          <t>Samuel Kruppa:</t>
        </r>
        <r>
          <rPr>
            <sz val="9"/>
            <color indexed="81"/>
            <rFont val="Segoe UI"/>
            <charset val="1"/>
          </rPr>
          <t xml:space="preserve">
Reduktion der CO2-Emissionen von Produktionsstätten
des Daimler Truck Konzerns</t>
        </r>
      </text>
    </comment>
    <comment ref="AL15" authorId="1" shapeId="0" xr:uid="{40C3A0E8-7CEC-4041-8138-201748159A4A}">
      <text>
        <r>
          <rPr>
            <b/>
            <sz val="9"/>
            <color indexed="81"/>
            <rFont val="Segoe UI"/>
            <charset val="1"/>
          </rPr>
          <t>Samuel Kruppa:</t>
        </r>
        <r>
          <rPr>
            <sz val="9"/>
            <color indexed="81"/>
            <rFont val="Segoe UI"/>
            <charset val="1"/>
          </rPr>
          <t xml:space="preserve">
gemittelt, S.12
</t>
        </r>
      </text>
    </comment>
    <comment ref="AS15" authorId="1" shapeId="0" xr:uid="{A9050333-ACEF-43A9-8EBD-2F103EF7548F}">
      <text>
        <r>
          <rPr>
            <b/>
            <sz val="9"/>
            <color indexed="81"/>
            <rFont val="Segoe UI"/>
            <charset val="1"/>
          </rPr>
          <t>Samuel Kruppa:</t>
        </r>
        <r>
          <rPr>
            <sz val="9"/>
            <color indexed="81"/>
            <rFont val="Segoe UI"/>
            <charset val="1"/>
          </rPr>
          <t xml:space="preserve">
gemittelt, S.12</t>
        </r>
      </text>
    </comment>
    <comment ref="AX15" authorId="1" shapeId="0" xr:uid="{B1C359E6-985E-4C4D-A966-1B7FDCE161A5}">
      <text>
        <r>
          <rPr>
            <b/>
            <sz val="9"/>
            <color indexed="81"/>
            <rFont val="Segoe UI"/>
            <charset val="1"/>
          </rPr>
          <t>Samuel Kruppa:</t>
        </r>
        <r>
          <rPr>
            <sz val="9"/>
            <color indexed="81"/>
            <rFont val="Segoe UI"/>
            <charset val="1"/>
          </rPr>
          <t xml:space="preserve">
gemittelt, S.12</t>
        </r>
      </text>
    </comment>
    <comment ref="D16" authorId="1" shapeId="0" xr:uid="{4BD97C72-8FFB-4896-823E-709EAC318E43}">
      <text>
        <r>
          <rPr>
            <b/>
            <sz val="9"/>
            <color indexed="81"/>
            <rFont val="Segoe UI"/>
            <charset val="1"/>
          </rPr>
          <t>Samuel Kruppa:</t>
        </r>
        <r>
          <rPr>
            <sz val="9"/>
            <color indexed="81"/>
            <rFont val="Segoe UI"/>
            <charset val="1"/>
          </rPr>
          <t xml:space="preserve">
Spanne von 22-23%</t>
        </r>
      </text>
    </comment>
    <comment ref="G16" authorId="1" shapeId="0" xr:uid="{AEBE3D3C-69FA-4172-911D-63C418C7575A}">
      <text>
        <r>
          <rPr>
            <b/>
            <sz val="9"/>
            <color indexed="81"/>
            <rFont val="Segoe UI"/>
            <charset val="1"/>
          </rPr>
          <t>Samuel Kruppa:</t>
        </r>
        <r>
          <rPr>
            <sz val="9"/>
            <color indexed="81"/>
            <rFont val="Segoe UI"/>
            <charset val="1"/>
          </rPr>
          <t xml:space="preserve">
5 von 6 Zielen des CEO indvidual balanced scoreboard sind ESG Ziele. Dieses scoreboard hat eine Gewichtung von 37,5% der STI und die 6 Ziele eine Gewichtung von 50% im Scoreboard, S.454</t>
        </r>
      </text>
    </comment>
    <comment ref="I16" authorId="1" shapeId="0" xr:uid="{4A2E976A-23B7-4B09-9221-EDF852716236}">
      <text>
        <r>
          <rPr>
            <b/>
            <sz val="9"/>
            <color indexed="81"/>
            <rFont val="Segoe UI"/>
            <charset val="1"/>
          </rPr>
          <t>Samuel Kruppa:</t>
        </r>
        <r>
          <rPr>
            <sz val="9"/>
            <color indexed="81"/>
            <rFont val="Segoe UI"/>
            <charset val="1"/>
          </rPr>
          <t xml:space="preserve">
CEO</t>
        </r>
      </text>
    </comment>
    <comment ref="P16" authorId="1" shapeId="0" xr:uid="{B1AA418A-C2EC-43CA-BCAC-B56176732884}">
      <text>
        <r>
          <rPr>
            <b/>
            <sz val="9"/>
            <color indexed="81"/>
            <rFont val="Segoe UI"/>
            <charset val="1"/>
          </rPr>
          <t>Samuel Kruppa:</t>
        </r>
        <r>
          <rPr>
            <sz val="9"/>
            <color indexed="81"/>
            <rFont val="Segoe UI"/>
            <charset val="1"/>
          </rPr>
          <t xml:space="preserve">
Culture Pulse Survey (Mitarbeiterumfrage)
Der KPI „Mitarbeiterumfrage“ wird anhand des Durchschnitts der positiven Antworten auf fünf kulturbedingte Fragen gemessen. Das Ziel für 2023 von 75 % wurde mit einem Ergebnis von 74,13 % annähernd erreicht.</t>
        </r>
      </text>
    </comment>
    <comment ref="Q16" authorId="1" shapeId="0" xr:uid="{51EFFAEF-0C50-414C-A6C3-EB34781394A2}">
      <text>
        <r>
          <rPr>
            <b/>
            <sz val="9"/>
            <color indexed="81"/>
            <rFont val="Segoe UI"/>
            <charset val="1"/>
          </rPr>
          <t>Samuel Kruppa:</t>
        </r>
        <r>
          <rPr>
            <sz val="9"/>
            <color indexed="81"/>
            <rFont val="Segoe UI"/>
            <charset val="1"/>
          </rPr>
          <t xml:space="preserve">
1 von 6 Zielen des CEO indvidual balanced scoreboard sind ESG Ziele. Dieses scoreboard hat eine Gewichtung von 37,5% der STI und die 6 Ziele eine Gewichtung von 50% im Scoreboard, S.454</t>
        </r>
      </text>
    </comment>
    <comment ref="R16" authorId="1" shapeId="0" xr:uid="{10EE560C-200B-4231-B882-A9794BFC0BF9}">
      <text>
        <r>
          <rPr>
            <b/>
            <sz val="9"/>
            <color indexed="81"/>
            <rFont val="Segoe UI"/>
            <charset val="1"/>
          </rPr>
          <t>Samuel Kruppa:</t>
        </r>
        <r>
          <rPr>
            <sz val="9"/>
            <color indexed="81"/>
            <rFont val="Segoe UI"/>
            <charset val="1"/>
          </rPr>
          <t xml:space="preserve">
Der KPI "Geschlechtervielfalt" misst den Anteil der Frauen in den Rollen Vice President, Director und Managing Director innerhalb der Deutsche Bank Gruppe. Das Ziel von 47 % für den Bereich des Vorstandsvorsitzenden wurde mit einem Anteil von 43 % im Jahr 2023 deutlich übertroffen.</t>
        </r>
      </text>
    </comment>
    <comment ref="S16" authorId="1" shapeId="0" xr:uid="{CD77CABE-B552-4284-820D-63198DF53643}">
      <text>
        <r>
          <rPr>
            <b/>
            <sz val="9"/>
            <color indexed="81"/>
            <rFont val="Segoe UI"/>
            <charset val="1"/>
          </rPr>
          <t>Samuel Kruppa:</t>
        </r>
        <r>
          <rPr>
            <sz val="9"/>
            <color indexed="81"/>
            <rFont val="Segoe UI"/>
            <charset val="1"/>
          </rPr>
          <t xml:space="preserve">
1 von 6 Zielen des CEO indvidual balanced scoreboard sind ESG Ziele. Dieses scoreboard hat eine Gewichtung von 37,5% der STI und die 6 Ziele eine Gewichtung von 50% im Scoreboard, S.454</t>
        </r>
      </text>
    </comment>
    <comment ref="U16" authorId="1" shapeId="0" xr:uid="{6EDF4324-A340-43F9-BEF8-FE2CB97B658A}">
      <text>
        <r>
          <rPr>
            <b/>
            <sz val="9"/>
            <color indexed="81"/>
            <rFont val="Segoe UI"/>
            <charset val="1"/>
          </rPr>
          <t>Samuel Kruppa:</t>
        </r>
        <r>
          <rPr>
            <sz val="9"/>
            <color indexed="81"/>
            <rFont val="Segoe UI"/>
            <charset val="1"/>
          </rPr>
          <t xml:space="preserve">
"Red Flags" werden für Verstöße gegen relevante risikobezogene Richtlinien und Kontrollprozesse vergeben. Während die Zielvorgabe im Durchschnitt bis zu eine „Rote Flagge“ pro Monat im Bereich des Vorständebereich hätte, gab es im Jahr 2023 durchschnittlich 0 „Rote Flaggen“ pro Monat.
</t>
        </r>
      </text>
    </comment>
    <comment ref="V16" authorId="1" shapeId="0" xr:uid="{98A595D4-8891-4EE5-94F5-C556E6FE72E8}">
      <text>
        <r>
          <rPr>
            <b/>
            <sz val="9"/>
            <color indexed="81"/>
            <rFont val="Segoe UI"/>
            <charset val="1"/>
          </rPr>
          <t>Samuel Kruppa:</t>
        </r>
        <r>
          <rPr>
            <sz val="9"/>
            <color indexed="81"/>
            <rFont val="Segoe UI"/>
            <charset val="1"/>
          </rPr>
          <t xml:space="preserve">
1 von 6 Zielen des CEO indvidual balanced scoreboard sind ESG Ziele. Dieses scoreboard hat eine Gewichtung von 37,5% der STI und die 6 Ziele eine Gewichtung von 50% im Scoreboard, S.454</t>
        </r>
      </text>
    </comment>
    <comment ref="W16" authorId="1" shapeId="0" xr:uid="{6626F65D-9225-406B-BFE1-6FD5DE276CB0}">
      <text>
        <r>
          <rPr>
            <b/>
            <sz val="9"/>
            <color indexed="81"/>
            <rFont val="Segoe UI"/>
            <charset val="1"/>
          </rPr>
          <t>Samuel Kruppa:</t>
        </r>
        <r>
          <rPr>
            <sz val="9"/>
            <color indexed="81"/>
            <rFont val="Segoe UI"/>
            <charset val="1"/>
          </rPr>
          <t xml:space="preserve">
Der KPI "Überfällige Feststellungen" zählt die Anzahl der überfälligen Feststellungen, einschließlich "wesentlicher" und "kritischer" Feststellungen, die i) interne und ii) regulatorische Feststellungen und iii) Selbst identifizierte Angelegenheiten (Self-Identified Issues, SIIs) umfassen. Im Jahr 2023 gab es im Durchschnitt 0,67 überfällige Feststellungen gegenüber einem Ziel von 0.</t>
        </r>
      </text>
    </comment>
    <comment ref="X16" authorId="1" shapeId="0" xr:uid="{57A824B6-4301-4E25-AF5E-DCB00691C07D}">
      <text>
        <r>
          <rPr>
            <b/>
            <sz val="9"/>
            <color indexed="81"/>
            <rFont val="Segoe UI"/>
            <charset val="1"/>
          </rPr>
          <t>Samuel Kruppa:</t>
        </r>
        <r>
          <rPr>
            <sz val="9"/>
            <color indexed="81"/>
            <rFont val="Segoe UI"/>
            <charset val="1"/>
          </rPr>
          <t xml:space="preserve">
1 von 6 Zielen des CEO indvidual balanced scoreboard sind ESG Ziele. Dieses scoreboard hat eine Gewichtung von 37,5% der STI und die 6 Ziele eine Gewichtung von 50% im Scoreboard, S.454</t>
        </r>
      </text>
    </comment>
    <comment ref="AD16" authorId="1" shapeId="0" xr:uid="{69C9341C-BAAF-49F7-93DF-9E4884F6D06A}">
      <text>
        <r>
          <rPr>
            <b/>
            <sz val="9"/>
            <color indexed="81"/>
            <rFont val="Segoe UI"/>
            <charset val="1"/>
          </rPr>
          <t>Samuel Kruppa:</t>
        </r>
        <r>
          <rPr>
            <sz val="9"/>
            <color indexed="81"/>
            <rFont val="Segoe UI"/>
            <charset val="1"/>
          </rPr>
          <t xml:space="preserve">
Spanne von 33-34%</t>
        </r>
      </text>
    </comment>
    <comment ref="AI16" authorId="1" shapeId="0" xr:uid="{6C048F69-0B17-4655-AF97-B6297026BF2D}">
      <text>
        <r>
          <rPr>
            <b/>
            <sz val="9"/>
            <color indexed="81"/>
            <rFont val="Segoe UI"/>
            <charset val="1"/>
          </rPr>
          <t>Samuel Kruppa:</t>
        </r>
        <r>
          <rPr>
            <sz val="9"/>
            <color indexed="81"/>
            <rFont val="Segoe UI"/>
            <charset val="1"/>
          </rPr>
          <t xml:space="preserve">
Tranche 21-23</t>
        </r>
      </text>
    </comment>
    <comment ref="AK16" authorId="1" shapeId="0" xr:uid="{2891FC4E-AF76-4B75-A856-91B84C2541B7}">
      <text>
        <r>
          <rPr>
            <b/>
            <sz val="9"/>
            <color indexed="81"/>
            <rFont val="Segoe UI"/>
            <charset val="1"/>
          </rPr>
          <t>Samuel Kruppa:</t>
        </r>
        <r>
          <rPr>
            <sz val="9"/>
            <color indexed="81"/>
            <rFont val="Segoe UI"/>
            <charset val="1"/>
          </rPr>
          <t xml:space="preserve">
Klimarisikomanagement vorantreiben  
Veröffentlichung eines detaillierten "Net Zero Transition"-Plans und Festlegung von Reduktionszielen für weitere Industriesektoren bis Ende 2023 im Einklang mit der Net Zero Banking Alliance -Verpflichtung  (ZE 50%);
Reduktion gesamter Gebäude-Energiebedarf (kWh/Quadratmeter) vs. Jahresende 2019 (ZE 150%)</t>
        </r>
      </text>
    </comment>
    <comment ref="AL16" authorId="1" shapeId="0" xr:uid="{3FDA5866-506C-4118-915F-6C0B547BE14F}">
      <text>
        <r>
          <rPr>
            <b/>
            <sz val="9"/>
            <color indexed="81"/>
            <rFont val="Segoe UI"/>
            <charset val="1"/>
          </rPr>
          <t>Samuel Kruppa:</t>
        </r>
        <r>
          <rPr>
            <sz val="9"/>
            <color indexed="81"/>
            <rFont val="Segoe UI"/>
            <charset val="1"/>
          </rPr>
          <t xml:space="preserve">
33% der LTI sind ESG-Ziele. Es gibt zwei emission reduction Ziele mit Gewichtung 12,5% bzw 5%. (S.458)
</t>
        </r>
      </text>
    </comment>
    <comment ref="AM16" authorId="1" shapeId="0" xr:uid="{3E89E4EB-DD06-46A5-B0F8-0209B902AA3D}">
      <text>
        <r>
          <rPr>
            <b/>
            <sz val="9"/>
            <color indexed="81"/>
            <rFont val="Segoe UI"/>
            <charset val="1"/>
          </rPr>
          <t>Samuel Kruppa:</t>
        </r>
        <r>
          <rPr>
            <sz val="9"/>
            <color indexed="81"/>
            <rFont val="Segoe UI"/>
            <charset val="1"/>
          </rPr>
          <t xml:space="preserve">
ZE 28%</t>
        </r>
      </text>
    </comment>
    <comment ref="AN16" authorId="1" shapeId="0" xr:uid="{C4E3FDE0-5A29-432B-9A78-28F66BFFD712}">
      <text>
        <r>
          <rPr>
            <b/>
            <sz val="9"/>
            <color indexed="81"/>
            <rFont val="Segoe UI"/>
            <charset val="1"/>
          </rPr>
          <t>Samuel Kruppa:</t>
        </r>
        <r>
          <rPr>
            <sz val="9"/>
            <color indexed="81"/>
            <rFont val="Segoe UI"/>
            <charset val="1"/>
          </rPr>
          <t xml:space="preserve">
33% der LTI sind ESG-Ziele. Dieses Ziel ist mit 12,5% gewichtet. (S.458)
</t>
        </r>
      </text>
    </comment>
    <comment ref="AP16" authorId="1" shapeId="0" xr:uid="{7C758157-2D95-49A0-AE03-D5F8AC665715}">
      <text>
        <r>
          <rPr>
            <b/>
            <sz val="9"/>
            <color indexed="81"/>
            <rFont val="Segoe UI"/>
            <charset val="1"/>
          </rPr>
          <t>Samuel Kruppa:</t>
        </r>
        <r>
          <rPr>
            <sz val="9"/>
            <color indexed="81"/>
            <rFont val="Segoe UI"/>
            <charset val="1"/>
          </rPr>
          <t xml:space="preserve">
Employee Feedback Culture, ZE 61,33%</t>
        </r>
      </text>
    </comment>
    <comment ref="AQ16" authorId="1" shapeId="0" xr:uid="{48A2AFE4-6A2E-4701-BF45-04304730DDF0}">
      <text>
        <r>
          <rPr>
            <b/>
            <sz val="9"/>
            <color indexed="81"/>
            <rFont val="Segoe UI"/>
            <charset val="1"/>
          </rPr>
          <t>Samuel Kruppa:</t>
        </r>
        <r>
          <rPr>
            <sz val="9"/>
            <color indexed="81"/>
            <rFont val="Segoe UI"/>
            <charset val="1"/>
          </rPr>
          <t xml:space="preserve">
Employee Feedback Culture (jüngstes Ergebnis Mitarbeiterbefragung)
33% der LTI sind ESG-Ziele. Dieses Ziel ist mit 5% gewichtet. (S.458)
</t>
        </r>
      </text>
    </comment>
    <comment ref="AR16" authorId="1" shapeId="0" xr:uid="{6F8F5FB0-26CE-4D3D-B183-232E52CF1366}">
      <text>
        <r>
          <rPr>
            <b/>
            <sz val="9"/>
            <color indexed="81"/>
            <rFont val="Segoe UI"/>
            <charset val="1"/>
          </rPr>
          <t>Samuel Kruppa:</t>
        </r>
        <r>
          <rPr>
            <sz val="9"/>
            <color indexed="81"/>
            <rFont val="Segoe UI"/>
            <charset val="1"/>
          </rPr>
          <t xml:space="preserve">
ZE 150%</t>
        </r>
      </text>
    </comment>
    <comment ref="AS16" authorId="1" shapeId="0" xr:uid="{EE23B9B6-5292-4DA4-A631-0458BC2AFD52}">
      <text>
        <r>
          <rPr>
            <b/>
            <sz val="9"/>
            <color indexed="81"/>
            <rFont val="Segoe UI"/>
            <charset val="1"/>
          </rPr>
          <t>Samuel Kruppa:</t>
        </r>
        <r>
          <rPr>
            <sz val="9"/>
            <color indexed="81"/>
            <rFont val="Segoe UI"/>
            <charset val="1"/>
          </rPr>
          <t xml:space="preserve">
33% der LTI sind ESG-Ziele. Dieses Ziel ist mit 10% gewichtet. (S.458)
</t>
        </r>
      </text>
    </comment>
    <comment ref="AW16" authorId="1" shapeId="0" xr:uid="{DDF4EEB8-8AFE-4E8D-85A8-7D7687696DBB}">
      <text>
        <r>
          <rPr>
            <b/>
            <sz val="9"/>
            <color indexed="81"/>
            <rFont val="Segoe UI"/>
            <charset val="1"/>
          </rPr>
          <t>Samuel Kruppa:</t>
        </r>
        <r>
          <rPr>
            <sz val="9"/>
            <color indexed="81"/>
            <rFont val="Segoe UI"/>
            <charset val="1"/>
          </rPr>
          <t xml:space="preserve">
ZE 40%; ZE 75%</t>
        </r>
      </text>
    </comment>
    <comment ref="AX16" authorId="1" shapeId="0" xr:uid="{2D201000-E883-47F7-846F-A9AC283FE226}">
      <text>
        <r>
          <rPr>
            <b/>
            <sz val="9"/>
            <color indexed="81"/>
            <rFont val="Segoe UI"/>
            <charset val="1"/>
          </rPr>
          <t>Samuel Kruppa:</t>
        </r>
        <r>
          <rPr>
            <sz val="9"/>
            <color indexed="81"/>
            <rFont val="Segoe UI"/>
            <charset val="1"/>
          </rPr>
          <t xml:space="preserve">
33% der LTI sind ESG-Ziele. Diese Ziele ist mit 15% bzw. 40% gewichtet. (S.458)
</t>
        </r>
      </text>
    </comment>
    <comment ref="F17" authorId="1" shapeId="0" xr:uid="{DE77BB84-7F94-45EF-B729-9991EE3619A2}">
      <text>
        <r>
          <rPr>
            <sz val="11"/>
            <color theme="1"/>
            <rFont val="Aptos Narrow"/>
            <family val="2"/>
            <scheme val="minor"/>
          </rPr>
          <t>Samuel Kruppa:
Keine STI ESG Ziele</t>
        </r>
      </text>
    </comment>
    <comment ref="I17" authorId="1" shapeId="0" xr:uid="{CFB5F2D3-4A6E-4B2C-A0A9-8F2637C87517}">
      <text>
        <r>
          <rPr>
            <b/>
            <sz val="9"/>
            <color indexed="81"/>
            <rFont val="Segoe UI"/>
            <family val="2"/>
          </rPr>
          <t>Samuel Kruppa:</t>
        </r>
        <r>
          <rPr>
            <sz val="9"/>
            <color indexed="81"/>
            <rFont val="Segoe UI"/>
            <family val="2"/>
          </rPr>
          <t xml:space="preserve">
CEO</t>
        </r>
      </text>
    </comment>
    <comment ref="AI17" authorId="1" shapeId="0" xr:uid="{3B514E4B-E3C0-4265-815E-25E7915A2716}">
      <text>
        <r>
          <rPr>
            <b/>
            <sz val="9"/>
            <color indexed="81"/>
            <rFont val="Segoe UI"/>
            <charset val="1"/>
          </rPr>
          <t xml:space="preserve">Samuel Kruppa:
</t>
        </r>
        <r>
          <rPr>
            <sz val="9"/>
            <color indexed="81"/>
            <rFont val="Segoe UI"/>
            <family val="2"/>
          </rPr>
          <t>Tranche 2019</t>
        </r>
      </text>
    </comment>
    <comment ref="D18" authorId="1" shapeId="0" xr:uid="{1FE9104F-698A-4001-9769-184C5A01C607}">
      <text>
        <r>
          <rPr>
            <b/>
            <sz val="9"/>
            <color indexed="81"/>
            <rFont val="Segoe UI"/>
            <charset val="1"/>
          </rPr>
          <t>Samuel Kruppa:</t>
        </r>
        <r>
          <rPr>
            <sz val="9"/>
            <color indexed="81"/>
            <rFont val="Segoe UI"/>
            <charset val="1"/>
          </rPr>
          <t xml:space="preserve">
Berechnet nach S.7</t>
        </r>
      </text>
    </comment>
    <comment ref="I18" authorId="1" shapeId="0" xr:uid="{8D90C151-0EF4-4E42-A842-0EA2DE66FA07}">
      <text>
        <r>
          <rPr>
            <b/>
            <sz val="9"/>
            <color indexed="81"/>
            <rFont val="Segoe UI"/>
            <charset val="1"/>
          </rPr>
          <t>Samuel Kruppa:</t>
        </r>
        <r>
          <rPr>
            <sz val="9"/>
            <color indexed="81"/>
            <rFont val="Segoe UI"/>
            <charset val="1"/>
          </rPr>
          <t xml:space="preserve">
CEO</t>
        </r>
      </text>
    </comment>
    <comment ref="J18" authorId="1" shapeId="0" xr:uid="{F4524E52-1B9E-4F60-89D0-ED734B4CF1B7}">
      <text>
        <r>
          <rPr>
            <b/>
            <sz val="9"/>
            <color indexed="81"/>
            <rFont val="Segoe UI"/>
            <charset val="1"/>
          </rPr>
          <t>Samuel Kruppa:</t>
        </r>
        <r>
          <rPr>
            <sz val="9"/>
            <color indexed="81"/>
            <rFont val="Segoe UI"/>
            <charset val="1"/>
          </rPr>
          <t xml:space="preserve">
Zielerreichung: 101,12%</t>
        </r>
      </text>
    </comment>
    <comment ref="K18" authorId="1" shapeId="0" xr:uid="{655E9BD6-C093-4DA1-879B-6951419024F5}">
      <text>
        <r>
          <rPr>
            <b/>
            <sz val="9"/>
            <color indexed="81"/>
            <rFont val="Segoe UI"/>
            <family val="2"/>
          </rPr>
          <t>Samuel Kruppa:</t>
        </r>
        <r>
          <rPr>
            <sz val="9"/>
            <color indexed="81"/>
            <rFont val="Segoe UI"/>
            <family val="2"/>
          </rPr>
          <t xml:space="preserve">
Dient der Umsetzung des Ziels, CO2-Emissionen zu reduzieren und klimafreundliche Logistikdienstleistungen
anzubieten</t>
        </r>
      </text>
    </comment>
    <comment ref="O18" authorId="1" shapeId="0" xr:uid="{4A6523F5-E8E2-4C69-AB85-ECF968041347}">
      <text>
        <r>
          <rPr>
            <b/>
            <sz val="9"/>
            <color indexed="81"/>
            <rFont val="Segoe UI"/>
            <charset val="1"/>
          </rPr>
          <t>Samuel Kruppa:</t>
        </r>
        <r>
          <rPr>
            <sz val="9"/>
            <color indexed="81"/>
            <rFont val="Segoe UI"/>
            <charset val="1"/>
          </rPr>
          <t xml:space="preserve">
Zielerreichung: 118,75%</t>
        </r>
      </text>
    </comment>
    <comment ref="W18" authorId="1" shapeId="0" xr:uid="{F6E203AD-5474-4ADB-8561-B698ED3F6C8F}">
      <text>
        <r>
          <rPr>
            <b/>
            <sz val="9"/>
            <color indexed="81"/>
            <rFont val="Segoe UI"/>
            <charset val="1"/>
          </rPr>
          <t>Samuel Kruppa:</t>
        </r>
        <r>
          <rPr>
            <sz val="9"/>
            <color indexed="81"/>
            <rFont val="Segoe UI"/>
            <charset val="1"/>
          </rPr>
          <t xml:space="preserve">
Zielerreichung: 125%</t>
        </r>
      </text>
    </comment>
    <comment ref="AA18" authorId="1" shapeId="0" xr:uid="{3145E0D8-A5B5-493D-BA8A-203348920AC5}">
      <text>
        <r>
          <rPr>
            <b/>
            <sz val="9"/>
            <color indexed="81"/>
            <rFont val="Segoe UI"/>
            <family val="2"/>
          </rPr>
          <t>Samuel Kruppa:</t>
        </r>
        <r>
          <rPr>
            <sz val="9"/>
            <color indexed="81"/>
            <rFont val="Segoe UI"/>
            <family val="2"/>
          </rPr>
          <t xml:space="preserve">
mögliche Einbehaltung von 50% der STI</t>
        </r>
      </text>
    </comment>
    <comment ref="AC18" authorId="1" shapeId="0" xr:uid="{C1C5A9AA-B744-4868-BFCE-E63DDC8F18C3}">
      <text>
        <r>
          <rPr>
            <b/>
            <sz val="9"/>
            <color indexed="81"/>
            <rFont val="Segoe UI"/>
            <family val="2"/>
          </rPr>
          <t>Samuel Kruppa:</t>
        </r>
        <r>
          <rPr>
            <sz val="9"/>
            <color indexed="81"/>
            <rFont val="Segoe UI"/>
            <family val="2"/>
          </rPr>
          <t xml:space="preserve">
50 % der sich aus der Zielerreichung ergebenden Jahreserfolgsvergütung werden in der Mittelfristkomponente mit einer zweijährigen
Nachhaltigkeitsphase verknüpft. Mittelfristkomponente wird einbehalten, wenn das Nachhaltigkeitsziel EAC während
der Nachhaltigkeitsphase nicht erreicht wird.</t>
        </r>
      </text>
    </comment>
    <comment ref="AD18" authorId="1" shapeId="0" xr:uid="{4130A6A5-A9A3-4084-B468-75DAED81A990}">
      <text>
        <r>
          <rPr>
            <b/>
            <sz val="9"/>
            <color indexed="81"/>
            <rFont val="Segoe UI"/>
            <charset val="1"/>
          </rPr>
          <t>Samuel Kruppa:</t>
        </r>
        <r>
          <rPr>
            <sz val="9"/>
            <color indexed="81"/>
            <rFont val="Segoe UI"/>
            <charset val="1"/>
          </rPr>
          <t xml:space="preserve">
Berechnet nach S.7</t>
        </r>
      </text>
    </comment>
    <comment ref="AI18" authorId="1" shapeId="0" xr:uid="{8A252529-5E8B-436B-810A-894E85DB9E2D}">
      <text>
        <r>
          <rPr>
            <b/>
            <sz val="9"/>
            <color indexed="81"/>
            <rFont val="Segoe UI"/>
            <family val="2"/>
          </rPr>
          <t>Samuel Kruppa:</t>
        </r>
        <r>
          <rPr>
            <sz val="9"/>
            <color indexed="81"/>
            <rFont val="Segoe UI"/>
            <family val="2"/>
          </rPr>
          <t xml:space="preserve">
Damit sind in beiden Tranchen (Tranche 2017 und Tranche 2019) alle Teilziele erreicht worden.</t>
        </r>
      </text>
    </comment>
    <comment ref="AY18" authorId="0" shapeId="0" xr:uid="{022B1B72-C7D8-49E8-AB7E-FD6A8463FC24}">
      <text>
        <r>
          <rPr>
            <sz val="9"/>
            <color indexed="81"/>
            <rFont val="Tahoma"/>
          </rPr>
          <t>2.5 mal Grundgehalt für den Vorstandsvorsitzenden</t>
        </r>
      </text>
    </comment>
    <comment ref="D19" authorId="1" shapeId="0" xr:uid="{9ABDB7E1-356E-44D8-B4EB-7B399B60D17A}">
      <text>
        <r>
          <rPr>
            <b/>
            <sz val="9"/>
            <color indexed="81"/>
            <rFont val="Segoe UI"/>
            <charset val="1"/>
          </rPr>
          <t>Samuel Kruppa:</t>
        </r>
        <r>
          <rPr>
            <sz val="9"/>
            <color indexed="81"/>
            <rFont val="Segoe UI"/>
            <charset val="1"/>
          </rPr>
          <t xml:space="preserve">
Berechnet aus Auszahlung an CEO, S. 21
</t>
        </r>
      </text>
    </comment>
    <comment ref="F19" authorId="1" shapeId="0" xr:uid="{6A6A6789-719A-4D72-AB34-EC40EC1550B4}">
      <text>
        <r>
          <rPr>
            <sz val="11"/>
            <color theme="1"/>
            <rFont val="Aptos Narrow"/>
            <family val="2"/>
            <scheme val="minor"/>
          </rPr>
          <t>Samuel Kruppa:
ESG Ziele sind 1/5 des indv. Performancefaktors des CEO;  1/3 der Zielparameter sind ESG</t>
        </r>
      </text>
    </comment>
    <comment ref="I19" authorId="1" shapeId="0" xr:uid="{2E5E22D1-D809-454A-A0A3-EAE97F812A0B}">
      <text>
        <r>
          <rPr>
            <b/>
            <sz val="9"/>
            <color indexed="81"/>
            <rFont val="Segoe UI"/>
            <charset val="1"/>
          </rPr>
          <t>Samuel Kruppa:</t>
        </r>
        <r>
          <rPr>
            <sz val="9"/>
            <color indexed="81"/>
            <rFont val="Segoe UI"/>
            <charset val="1"/>
          </rPr>
          <t xml:space="preserve">
CEO</t>
        </r>
      </text>
    </comment>
    <comment ref="L19" authorId="1" shapeId="0" xr:uid="{4A6699B1-7436-400B-B1D3-DD86B8850DDF}">
      <text>
        <r>
          <rPr>
            <b/>
            <sz val="9"/>
            <color indexed="81"/>
            <rFont val="Segoe UI"/>
            <charset val="1"/>
          </rPr>
          <t>Samuel Kruppa:</t>
        </r>
        <r>
          <rPr>
            <sz val="9"/>
            <color indexed="81"/>
            <rFont val="Segoe UI"/>
            <charset val="1"/>
          </rPr>
          <t xml:space="preserve">
50% der ESG-Ziele, Zielerreichung: 137%</t>
        </r>
      </text>
    </comment>
    <comment ref="N19" authorId="1" shapeId="0" xr:uid="{7E22A2F8-A238-4849-B747-B54C632BA24D}">
      <text>
        <r>
          <rPr>
            <b/>
            <sz val="9"/>
            <color indexed="81"/>
            <rFont val="Segoe UI"/>
            <charset val="1"/>
          </rPr>
          <t>Samuel Kruppa:</t>
        </r>
        <r>
          <rPr>
            <sz val="9"/>
            <color indexed="81"/>
            <rFont val="Segoe UI"/>
            <charset val="1"/>
          </rPr>
          <t xml:space="preserve">
50% der ESG-Ziele, Zielerreichung: 150%</t>
        </r>
      </text>
    </comment>
    <comment ref="AD19" authorId="1" shapeId="0" xr:uid="{92C3973F-1EA2-473A-AE7C-09116B5B4E85}">
      <text>
        <r>
          <rPr>
            <b/>
            <sz val="9"/>
            <color indexed="81"/>
            <rFont val="Segoe UI"/>
            <charset val="1"/>
          </rPr>
          <t>Samuel Kruppa:</t>
        </r>
        <r>
          <rPr>
            <sz val="9"/>
            <color indexed="81"/>
            <rFont val="Segoe UI"/>
            <charset val="1"/>
          </rPr>
          <t xml:space="preserve">
Berechnet aus Auszahlung an CEO, S. 21
</t>
        </r>
      </text>
    </comment>
    <comment ref="AG19" authorId="1" shapeId="0" xr:uid="{3B2D0014-E1C4-4C8F-B42A-A1038CD92091}">
      <text>
        <r>
          <rPr>
            <b/>
            <sz val="9"/>
            <color indexed="81"/>
            <rFont val="Segoe UI"/>
            <charset val="1"/>
          </rPr>
          <t>Samuel Kruppa:</t>
        </r>
        <r>
          <rPr>
            <sz val="9"/>
            <color indexed="81"/>
            <rFont val="Segoe UI"/>
            <charset val="1"/>
          </rPr>
          <t xml:space="preserve">
2 von 4 Zielen sind ESG Ziele, gemittet, S.17</t>
        </r>
      </text>
    </comment>
    <comment ref="AI19" authorId="1" shapeId="0" xr:uid="{FA0A26D3-8BCE-4A1B-B7E4-B7C305C06D69}">
      <text>
        <r>
          <rPr>
            <b/>
            <sz val="9"/>
            <color indexed="81"/>
            <rFont val="Segoe UI"/>
            <family val="2"/>
          </rPr>
          <t>Samuel Kruppa:</t>
        </r>
        <r>
          <rPr>
            <sz val="9"/>
            <color indexed="81"/>
            <rFont val="Segoe UI"/>
            <family val="2"/>
          </rPr>
          <t xml:space="preserve">
Tranche 2020</t>
        </r>
      </text>
    </comment>
    <comment ref="AP19" authorId="1" shapeId="0" xr:uid="{763CCD9D-7BBA-436C-BFAA-676CDCF0BB7C}">
      <text>
        <r>
          <rPr>
            <b/>
            <sz val="9"/>
            <color indexed="81"/>
            <rFont val="Segoe UI"/>
            <charset val="1"/>
          </rPr>
          <t>Samuel Kruppa:</t>
        </r>
        <r>
          <rPr>
            <sz val="9"/>
            <color indexed="81"/>
            <rFont val="Segoe UI"/>
            <charset val="1"/>
          </rPr>
          <t xml:space="preserve">
Zielerreichung 150%</t>
        </r>
      </text>
    </comment>
    <comment ref="AR19" authorId="1" shapeId="0" xr:uid="{B3A60C03-902F-4566-8B65-7CBDFBD83ADE}">
      <text>
        <r>
          <rPr>
            <b/>
            <sz val="9"/>
            <color indexed="81"/>
            <rFont val="Segoe UI"/>
            <charset val="1"/>
          </rPr>
          <t>Samuel Kruppa:</t>
        </r>
        <r>
          <rPr>
            <sz val="9"/>
            <color indexed="81"/>
            <rFont val="Segoe UI"/>
            <charset val="1"/>
          </rPr>
          <t xml:space="preserve">
Zielerreichung: 150%</t>
        </r>
      </text>
    </comment>
    <comment ref="D20" authorId="1" shapeId="0" xr:uid="{58D7128E-F878-442C-AF70-FDFCE1AC11AB}">
      <text>
        <r>
          <rPr>
            <b/>
            <sz val="9"/>
            <color indexed="81"/>
            <rFont val="Segoe UI"/>
            <charset val="1"/>
          </rPr>
          <t>Samuel Kruppa:</t>
        </r>
        <r>
          <rPr>
            <sz val="9"/>
            <color indexed="81"/>
            <rFont val="Segoe UI"/>
            <charset val="1"/>
          </rPr>
          <t xml:space="preserve">
CEO, S.9</t>
        </r>
      </text>
    </comment>
    <comment ref="F20" authorId="1" shapeId="0" xr:uid="{81EC06F8-EC4C-4F5D-A2DD-EB5314C6C129}">
      <text>
        <r>
          <rPr>
            <sz val="11"/>
            <color theme="1"/>
            <rFont val="Aptos Narrow"/>
            <family val="2"/>
            <scheme val="minor"/>
          </rPr>
          <t>Samuel Kruppa:
Indvidueller Performancefaktor (0.8-1.2) in dem ESG-Ziele vorkommen; Net Promoter Score</t>
        </r>
      </text>
    </comment>
    <comment ref="G20" authorId="1" shapeId="0" xr:uid="{42EB367D-6F52-46AC-964F-28A8E7D00F54}">
      <text>
        <r>
          <rPr>
            <sz val="11"/>
            <color theme="1"/>
            <rFont val="Aptos Narrow"/>
            <family val="2"/>
            <scheme val="minor"/>
          </rPr>
          <t>Samuel Kruppa:
3/5 indv. Zielen sind ESG; NPS mit 20% Gewichtung</t>
        </r>
      </text>
    </comment>
    <comment ref="N20" authorId="1" shapeId="0" xr:uid="{5FB8E78C-3D2E-4C32-87C4-748A8AFCE0FB}">
      <text>
        <r>
          <rPr>
            <b/>
            <sz val="9"/>
            <color indexed="81"/>
            <rFont val="Segoe UI"/>
            <family val="2"/>
          </rPr>
          <t>Samuel Kruppa:</t>
        </r>
        <r>
          <rPr>
            <sz val="9"/>
            <color indexed="81"/>
            <rFont val="Segoe UI"/>
            <family val="2"/>
          </rPr>
          <t xml:space="preserve">
1 von 5 indv. Zielen</t>
        </r>
      </text>
    </comment>
    <comment ref="R20" authorId="1" shapeId="0" xr:uid="{DF294148-21AA-4B58-8733-14617671861E}">
      <text>
        <r>
          <rPr>
            <b/>
            <sz val="9"/>
            <color indexed="81"/>
            <rFont val="Segoe UI"/>
            <family val="2"/>
          </rPr>
          <t>Samuel Kruppa:</t>
        </r>
        <r>
          <rPr>
            <sz val="9"/>
            <color indexed="81"/>
            <rFont val="Segoe UI"/>
            <family val="2"/>
          </rPr>
          <t xml:space="preserve">
ZA NPS 111%</t>
        </r>
      </text>
    </comment>
    <comment ref="S20" authorId="1" shapeId="0" xr:uid="{58457066-FF01-44A0-B600-C70369CCFA9F}">
      <text>
        <r>
          <rPr>
            <b/>
            <sz val="9"/>
            <color indexed="81"/>
            <rFont val="Segoe UI"/>
            <family val="2"/>
          </rPr>
          <t>Samuel Kruppa:</t>
        </r>
        <r>
          <rPr>
            <sz val="9"/>
            <color indexed="81"/>
            <rFont val="Segoe UI"/>
            <family val="2"/>
          </rPr>
          <t xml:space="preserve">
NPS mit 20% Gewichtung; 1 von 5 indv. Zielen</t>
        </r>
      </text>
    </comment>
    <comment ref="AD20" authorId="1" shapeId="0" xr:uid="{2BD6AF5F-2B0E-468E-9C8B-3AC81A65EA8E}">
      <text>
        <r>
          <rPr>
            <b/>
            <sz val="9"/>
            <color indexed="81"/>
            <rFont val="Segoe UI"/>
            <charset val="1"/>
          </rPr>
          <t>Samuel Kruppa:</t>
        </r>
        <r>
          <rPr>
            <sz val="9"/>
            <color indexed="81"/>
            <rFont val="Segoe UI"/>
            <charset val="1"/>
          </rPr>
          <t xml:space="preserve">
CEO, S.9</t>
        </r>
      </text>
    </comment>
    <comment ref="AI20" authorId="1" shapeId="0" xr:uid="{7DE038AB-C8C5-4C41-9543-990F2A659050}">
      <text>
        <r>
          <rPr>
            <b/>
            <sz val="9"/>
            <color indexed="81"/>
            <rFont val="Segoe UI"/>
            <charset val="1"/>
          </rPr>
          <t>Samuel Kruppa:</t>
        </r>
        <r>
          <rPr>
            <sz val="9"/>
            <color indexed="81"/>
            <rFont val="Segoe UI"/>
            <charset val="1"/>
          </rPr>
          <t xml:space="preserve">
Tranche 20-23</t>
        </r>
      </text>
    </comment>
    <comment ref="AK20" authorId="1" shapeId="0" xr:uid="{0C18C163-FF7A-478A-8B81-324A51EE9F2F}">
      <text>
        <r>
          <rPr>
            <b/>
            <sz val="9"/>
            <color indexed="81"/>
            <rFont val="Segoe UI"/>
            <family val="2"/>
          </rPr>
          <t>Samuel Kruppa:</t>
        </r>
        <r>
          <rPr>
            <sz val="9"/>
            <color indexed="81"/>
            <rFont val="Segoe UI"/>
            <family val="2"/>
          </rPr>
          <t xml:space="preserve">
Reduzierung der Kohlenstoff-Emissionen (Scope 1 und 2 )
   </t>
        </r>
      </text>
    </comment>
    <comment ref="AL20" authorId="1" shapeId="0" xr:uid="{2B2F28BA-DA78-4EC6-9CFE-DE4EBF239C11}">
      <text>
        <r>
          <rPr>
            <b/>
            <sz val="9"/>
            <color indexed="81"/>
            <rFont val="Segoe UI"/>
            <charset val="1"/>
          </rPr>
          <t>Samuel Kruppa:</t>
        </r>
        <r>
          <rPr>
            <sz val="9"/>
            <color indexed="81"/>
            <rFont val="Segoe UI"/>
            <charset val="1"/>
          </rPr>
          <t xml:space="preserve">
1 von 4 ESG Zielen, die zsm 25% der LTI sind, gemittelt, S.16</t>
        </r>
      </text>
    </comment>
    <comment ref="AS20" authorId="1" shapeId="0" xr:uid="{FA8999A9-67A0-4829-A27C-1BF07D85EAA8}">
      <text>
        <r>
          <rPr>
            <b/>
            <sz val="9"/>
            <color indexed="81"/>
            <rFont val="Segoe UI"/>
            <charset val="1"/>
          </rPr>
          <t>Samuel Kruppa:</t>
        </r>
        <r>
          <rPr>
            <sz val="9"/>
            <color indexed="81"/>
            <rFont val="Segoe UI"/>
            <charset val="1"/>
          </rPr>
          <t xml:space="preserve">
je 1 von 4 ESG Zielen, die zsm 25% der LTI sind, gemittelt, S.16</t>
        </r>
      </text>
    </comment>
    <comment ref="AX20" authorId="1" shapeId="0" xr:uid="{1DC1676D-72E1-48B7-B3D1-5B6245ACBC24}">
      <text>
        <r>
          <rPr>
            <b/>
            <sz val="9"/>
            <color indexed="81"/>
            <rFont val="Segoe UI"/>
            <charset val="1"/>
          </rPr>
          <t>Samuel Kruppa:</t>
        </r>
        <r>
          <rPr>
            <sz val="9"/>
            <color indexed="81"/>
            <rFont val="Segoe UI"/>
            <charset val="1"/>
          </rPr>
          <t xml:space="preserve">
je 1 von 4 ESG Zielen, die zsm 25% der LTI sind, gemittelt, S.16</t>
        </r>
      </text>
    </comment>
    <comment ref="I21" authorId="1" shapeId="0" xr:uid="{577A9883-F4F5-462A-B1A2-4754F97E7C81}">
      <text>
        <r>
          <rPr>
            <b/>
            <sz val="9"/>
            <color indexed="81"/>
            <rFont val="Segoe UI"/>
            <charset val="1"/>
          </rPr>
          <t>Samuel Kruppa:</t>
        </r>
        <r>
          <rPr>
            <sz val="9"/>
            <color indexed="81"/>
            <rFont val="Segoe UI"/>
            <charset val="1"/>
          </rPr>
          <t xml:space="preserve">
CEO</t>
        </r>
      </text>
    </comment>
    <comment ref="Q21" authorId="1" shapeId="0" xr:uid="{7B52CD28-8083-46F7-AAF2-C64B810E550D}">
      <text>
        <r>
          <rPr>
            <b/>
            <sz val="9"/>
            <color indexed="81"/>
            <rFont val="Segoe UI"/>
            <charset val="1"/>
          </rPr>
          <t>Samuel Kruppa:</t>
        </r>
        <r>
          <rPr>
            <sz val="9"/>
            <color indexed="81"/>
            <rFont val="Segoe UI"/>
            <charset val="1"/>
          </rPr>
          <t xml:space="preserve">
Employee Engagement Index, ZA 93,18%. gemittelt, ESG sind 15% der STI, S.234</t>
        </r>
      </text>
    </comment>
    <comment ref="R21" authorId="1" shapeId="0" xr:uid="{BF96A80C-32EB-40CA-9B15-CB9BD0A24900}">
      <text>
        <r>
          <rPr>
            <b/>
            <sz val="9"/>
            <color indexed="81"/>
            <rFont val="Segoe UI"/>
            <family val="2"/>
          </rPr>
          <t>Samuel Kruppa:</t>
        </r>
        <r>
          <rPr>
            <sz val="9"/>
            <color indexed="81"/>
            <rFont val="Segoe UI"/>
            <family val="2"/>
          </rPr>
          <t xml:space="preserve">
ZA 135,12%</t>
        </r>
      </text>
    </comment>
    <comment ref="S21" authorId="1" shapeId="0" xr:uid="{D770FE50-E3D6-4C93-A113-F12D31703F8C}">
      <text>
        <r>
          <rPr>
            <b/>
            <sz val="9"/>
            <color indexed="81"/>
            <rFont val="Segoe UI"/>
            <charset val="1"/>
          </rPr>
          <t>Samuel Kruppa:</t>
        </r>
        <r>
          <rPr>
            <sz val="9"/>
            <color indexed="81"/>
            <rFont val="Segoe UI"/>
            <charset val="1"/>
          </rPr>
          <t xml:space="preserve">
gemittelt, ESG sind 15% der STI, S.234</t>
        </r>
      </text>
    </comment>
    <comment ref="AI21" authorId="1" shapeId="0" xr:uid="{FBE290DA-72BE-4C47-B803-E78F6CEA9147}">
      <text>
        <r>
          <rPr>
            <b/>
            <sz val="9"/>
            <color indexed="81"/>
            <rFont val="Segoe UI"/>
            <charset val="1"/>
          </rPr>
          <t>Samuel Kruppa:</t>
        </r>
        <r>
          <rPr>
            <sz val="9"/>
            <color indexed="81"/>
            <rFont val="Segoe UI"/>
            <charset val="1"/>
          </rPr>
          <t xml:space="preserve">
noch altes LTI System, ohne ESG, S.241</t>
        </r>
      </text>
    </comment>
    <comment ref="G22" authorId="1" shapeId="0" xr:uid="{F710D940-1D6C-4F5A-847A-162CD7BBD142}">
      <text>
        <r>
          <rPr>
            <b/>
            <sz val="9"/>
            <color indexed="81"/>
            <rFont val="Segoe UI"/>
            <family val="2"/>
          </rPr>
          <t>Samuel Kruppa:</t>
        </r>
        <r>
          <rPr>
            <sz val="9"/>
            <color indexed="81"/>
            <rFont val="Segoe UI"/>
            <family val="2"/>
          </rPr>
          <t xml:space="preserve">
indv. Leistungsfaktor (0,75 - 1,25)</t>
        </r>
      </text>
    </comment>
    <comment ref="I22" authorId="1" shapeId="0" xr:uid="{8ACF45F9-DEE2-4009-9360-BB86BCFECDB9}">
      <text>
        <r>
          <rPr>
            <b/>
            <sz val="9"/>
            <color indexed="81"/>
            <rFont val="Segoe UI"/>
            <family val="2"/>
          </rPr>
          <t>Samuel Kruppa:</t>
        </r>
        <r>
          <rPr>
            <sz val="9"/>
            <color indexed="81"/>
            <rFont val="Segoe UI"/>
            <family val="2"/>
          </rPr>
          <t xml:space="preserve">
CEO</t>
        </r>
      </text>
    </comment>
    <comment ref="AE22" authorId="1" shapeId="0" xr:uid="{E76DAF54-B48B-491F-8801-265BE6230460}">
      <text>
        <r>
          <rPr>
            <b/>
            <sz val="9"/>
            <color indexed="81"/>
            <rFont val="Segoe UI"/>
            <family val="2"/>
          </rPr>
          <t>Samuel Kruppa:</t>
        </r>
        <r>
          <rPr>
            <sz val="9"/>
            <color indexed="81"/>
            <rFont val="Segoe UI"/>
            <family val="2"/>
          </rPr>
          <t xml:space="preserve">
Der LTI-Zuteilungswert berechnet sich aus den STI, somit sind zwar ESG-Ziele verankert, allerdings keine LTI eigenen.</t>
        </r>
      </text>
    </comment>
    <comment ref="D23" authorId="1" shapeId="0" xr:uid="{9DA5ACA5-EEB5-4C3F-860C-EE93356CF10A}">
      <text>
        <r>
          <rPr>
            <b/>
            <sz val="9"/>
            <color indexed="81"/>
            <rFont val="Segoe UI"/>
            <charset val="1"/>
          </rPr>
          <t>Samuel Kruppa:</t>
        </r>
        <r>
          <rPr>
            <sz val="9"/>
            <color indexed="81"/>
            <rFont val="Segoe UI"/>
            <charset val="1"/>
          </rPr>
          <t xml:space="preserve">
CEO</t>
        </r>
      </text>
    </comment>
    <comment ref="F23" authorId="1" shapeId="0" xr:uid="{A7D6CF38-1B76-4227-9F58-51CA96494E1C}">
      <text>
        <r>
          <rPr>
            <b/>
            <sz val="9"/>
            <color indexed="81"/>
            <rFont val="Segoe UI"/>
            <charset val="1"/>
          </rPr>
          <t>Samuel Kruppa:</t>
        </r>
        <r>
          <rPr>
            <sz val="9"/>
            <color indexed="81"/>
            <rFont val="Segoe UI"/>
            <charset val="1"/>
          </rPr>
          <t xml:space="preserve">
Es gibt eine Co2-Komponente (0,7 -1,3) und indv. Ziele, die auch ESG Ziele beinhalten</t>
        </r>
      </text>
    </comment>
    <comment ref="G23" authorId="1" shapeId="0" xr:uid="{DD76D4DC-515C-4E82-9ACF-09A4375D4F04}">
      <text>
        <r>
          <rPr>
            <b/>
            <sz val="9"/>
            <color indexed="81"/>
            <rFont val="Segoe UI"/>
            <charset val="1"/>
          </rPr>
          <t>Samuel Kruppa:</t>
        </r>
        <r>
          <rPr>
            <sz val="9"/>
            <color indexed="81"/>
            <rFont val="Segoe UI"/>
            <charset val="1"/>
          </rPr>
          <t xml:space="preserve">
Co2-Komponente; indv. Ziele des CEO (1 von 5 Zielen ESG)</t>
        </r>
      </text>
    </comment>
    <comment ref="I23" authorId="1" shapeId="0" xr:uid="{1E009F09-6FA2-44CD-957D-49F31CE4FE1F}">
      <text>
        <r>
          <rPr>
            <b/>
            <sz val="9"/>
            <color indexed="81"/>
            <rFont val="Segoe UI"/>
            <charset val="1"/>
          </rPr>
          <t>Samuel Kruppa:</t>
        </r>
        <r>
          <rPr>
            <sz val="9"/>
            <color indexed="81"/>
            <rFont val="Segoe UI"/>
            <charset val="1"/>
          </rPr>
          <t xml:space="preserve">
CEO</t>
        </r>
      </text>
    </comment>
    <comment ref="K23" authorId="1" shapeId="0" xr:uid="{CAE6AF0E-0B9F-409E-A1C8-B9BC01EC2CD0}">
      <text>
        <r>
          <rPr>
            <b/>
            <sz val="9"/>
            <color indexed="81"/>
            <rFont val="Segoe UI"/>
            <charset val="1"/>
          </rPr>
          <t>Samuel Kruppa:</t>
        </r>
        <r>
          <rPr>
            <sz val="9"/>
            <color indexed="81"/>
            <rFont val="Segoe UI"/>
            <charset val="1"/>
          </rPr>
          <t xml:space="preserve">
CO2-Komponente (0,7-1,3), Zielerreichung 1,05. Die CO2-Komponente im Jahresbonus soll einen maßgeblichen
Anreiz zur Erreichung der im Rahmen der
Unternehmensstrategie gesetzten CO2-Reduktionsziele
setzen.</t>
        </r>
      </text>
    </comment>
    <comment ref="AD23" authorId="1" shapeId="0" xr:uid="{C1B5BC76-6A94-4CB8-9F34-6F0E343BE22E}">
      <text>
        <r>
          <rPr>
            <b/>
            <sz val="9"/>
            <color indexed="81"/>
            <rFont val="Segoe UI"/>
            <charset val="1"/>
          </rPr>
          <t>Samuel Kruppa:</t>
        </r>
        <r>
          <rPr>
            <sz val="9"/>
            <color indexed="81"/>
            <rFont val="Segoe UI"/>
            <charset val="1"/>
          </rPr>
          <t xml:space="preserve">
CEO</t>
        </r>
      </text>
    </comment>
    <comment ref="AI23" authorId="1" shapeId="0" xr:uid="{44DA463D-9BA8-4A54-B6FC-2038E7CD3D8A}">
      <text>
        <r>
          <rPr>
            <b/>
            <sz val="9"/>
            <color indexed="81"/>
            <rFont val="Segoe UI"/>
            <family val="2"/>
          </rPr>
          <t>Samuel Kruppa:</t>
        </r>
        <r>
          <rPr>
            <sz val="9"/>
            <color indexed="81"/>
            <rFont val="Segoe UI"/>
            <family val="2"/>
          </rPr>
          <t xml:space="preserve">
Tranche 2021</t>
        </r>
      </text>
    </comment>
    <comment ref="D24" authorId="1" shapeId="0" xr:uid="{BEA02AA8-51F5-4DCE-A814-07205BE53ABA}">
      <text>
        <r>
          <rPr>
            <b/>
            <sz val="9"/>
            <color indexed="81"/>
            <rFont val="Segoe UI"/>
          </rPr>
          <t>Samuel Kruppa:</t>
        </r>
        <r>
          <rPr>
            <sz val="9"/>
            <color indexed="81"/>
            <rFont val="Segoe UI"/>
          </rPr>
          <t xml:space="preserve">
CEO, berchnet nach S.7
</t>
        </r>
      </text>
    </comment>
    <comment ref="F24" authorId="1" shapeId="0" xr:uid="{39BDAD0F-7E1C-44AC-8961-ED4CC2E398F0}">
      <text>
        <r>
          <rPr>
            <b/>
            <sz val="9"/>
            <color indexed="81"/>
            <rFont val="Segoe UI"/>
            <charset val="1"/>
          </rPr>
          <t>Samuel Kruppa:</t>
        </r>
        <r>
          <rPr>
            <sz val="9"/>
            <color indexed="81"/>
            <rFont val="Segoe UI"/>
            <charset val="1"/>
          </rPr>
          <t xml:space="preserve">
Es gibt einen Multiplikator (0.8-1.2) in dem ESG-Ziele vorkommen </t>
        </r>
      </text>
    </comment>
    <comment ref="G24" authorId="1" shapeId="0" xr:uid="{0D87E572-143A-4EF2-8964-22FEF86BF694}">
      <text>
        <r>
          <rPr>
            <b/>
            <sz val="9"/>
            <color indexed="81"/>
            <rFont val="Segoe UI"/>
            <family val="2"/>
          </rPr>
          <t>Samuel Kruppa:</t>
        </r>
        <r>
          <rPr>
            <sz val="9"/>
            <color indexed="81"/>
            <rFont val="Segoe UI"/>
            <family val="2"/>
          </rPr>
          <t xml:space="preserve">
gemittelt nach S.22-23
indv. Ziele: 
-Absolute und relative Performance des verantworteten
Unternehmensbereichs im Vergleich zum Markt/Wettbewerb
 Persönlicher Beitrag zur Umsetzung strategischer
Prioritäten
 Erfüllung individuell vereinbarter Sonderziele (Fokusthemen)
in den Fokusthemen sind 2 von 5 Zielen ESG, 1 davon allgemein ESG.</t>
        </r>
      </text>
    </comment>
    <comment ref="I24" authorId="1" shapeId="0" xr:uid="{0F61FA2B-E72B-48D4-BE6D-06F87EA5F69C}">
      <text>
        <r>
          <rPr>
            <b/>
            <sz val="9"/>
            <color indexed="81"/>
            <rFont val="Segoe UI"/>
          </rPr>
          <t>Samuel Kruppa:</t>
        </r>
        <r>
          <rPr>
            <sz val="9"/>
            <color indexed="81"/>
            <rFont val="Segoe UI"/>
          </rPr>
          <t xml:space="preserve">
CEO, Berechnung nach S. 24</t>
        </r>
      </text>
    </comment>
    <comment ref="R24" authorId="1" shapeId="0" xr:uid="{19802BD1-D907-4383-8864-9A8DD68DF211}">
      <text>
        <r>
          <rPr>
            <b/>
            <sz val="9"/>
            <color indexed="81"/>
            <rFont val="Segoe UI"/>
          </rPr>
          <t>Samuel Kruppa:</t>
        </r>
        <r>
          <rPr>
            <sz val="9"/>
            <color indexed="81"/>
            <rFont val="Segoe UI"/>
          </rPr>
          <t xml:space="preserve">
CEO</t>
        </r>
      </text>
    </comment>
    <comment ref="S24" authorId="1" shapeId="0" xr:uid="{2A001562-86D7-4A6A-AFF8-8145D5E27934}">
      <text>
        <r>
          <rPr>
            <b/>
            <sz val="9"/>
            <color indexed="81"/>
            <rFont val="Segoe UI"/>
            <family val="2"/>
          </rPr>
          <t>Samuel Kruppa:</t>
        </r>
        <r>
          <rPr>
            <sz val="9"/>
            <color indexed="81"/>
            <rFont val="Segoe UI"/>
            <family val="2"/>
          </rPr>
          <t xml:space="preserve">
indv. Ziele: 
-Absolute und relative Performance des verantworteten
Unternehmensbereichs im Vergleich zum Markt/Wettbewerb
 Persönlicher Beitrag zur Umsetzung strategischer
Prioritäten
 Erfüllung individuell vereinbarter Sonderziele (Fokusthemen)
in den Fokusthemen sind 2 von 5 Zielen ESG, 1 davon allgemein ESG</t>
        </r>
      </text>
    </comment>
    <comment ref="AD24" authorId="1" shapeId="0" xr:uid="{1BA30F9C-84A0-4C57-BDBA-425FB897F742}">
      <text>
        <r>
          <rPr>
            <b/>
            <sz val="9"/>
            <color indexed="81"/>
            <rFont val="Segoe UI"/>
          </rPr>
          <t>Samuel Kruppa:</t>
        </r>
        <r>
          <rPr>
            <sz val="9"/>
            <color indexed="81"/>
            <rFont val="Segoe UI"/>
          </rPr>
          <t xml:space="preserve">
CEO, berechnet nach S.7
</t>
        </r>
      </text>
    </comment>
    <comment ref="AI24" authorId="1" shapeId="0" xr:uid="{DF4CAFD5-9E39-406F-8796-922258549818}">
      <text>
        <r>
          <rPr>
            <b/>
            <sz val="9"/>
            <color indexed="81"/>
            <rFont val="Segoe UI"/>
          </rPr>
          <t xml:space="preserve">Samuel Kruppa:
</t>
        </r>
        <r>
          <rPr>
            <sz val="9"/>
            <color indexed="81"/>
            <rFont val="Segoe UI"/>
            <family val="2"/>
          </rPr>
          <t>berechnet nach S.38</t>
        </r>
      </text>
    </comment>
    <comment ref="AK24" authorId="1" shapeId="0" xr:uid="{9A8B5035-1165-43CD-8EDF-C05451043B2E}">
      <text>
        <r>
          <rPr>
            <b/>
            <sz val="9"/>
            <color indexed="81"/>
            <rFont val="Segoe UI"/>
          </rPr>
          <t xml:space="preserve">Samuel Kruppa:
</t>
        </r>
        <r>
          <rPr>
            <sz val="9"/>
            <color indexed="81"/>
            <rFont val="Segoe UI"/>
            <family val="2"/>
          </rPr>
          <t>Reduktion der CO2-Emissionen pro Tonne Produkt in unseren Produktionsbetrieben (im Vergleich zum
Basisjahr 2017), ZE 150%</t>
        </r>
      </text>
    </comment>
    <comment ref="AR24" authorId="1" shapeId="0" xr:uid="{E5399605-A20D-483E-AEE1-D775678FA539}">
      <text>
        <r>
          <rPr>
            <b/>
            <sz val="9"/>
            <color indexed="81"/>
            <rFont val="Segoe UI"/>
            <family val="2"/>
          </rPr>
          <t>Samuel Kruppa:</t>
        </r>
        <r>
          <rPr>
            <sz val="9"/>
            <color indexed="81"/>
            <rFont val="Segoe UI"/>
            <family val="2"/>
          </rPr>
          <t xml:space="preserve">
ZE 90%</t>
        </r>
      </text>
    </comment>
    <comment ref="D25" authorId="1" shapeId="0" xr:uid="{6E960FC5-1CC1-49D1-99A2-7BE517C93919}">
      <text>
        <r>
          <rPr>
            <b/>
            <sz val="9"/>
            <color indexed="81"/>
            <rFont val="Segoe UI"/>
            <family val="2"/>
          </rPr>
          <t>Samuel Kruppa:</t>
        </r>
        <r>
          <rPr>
            <sz val="9"/>
            <color indexed="81"/>
            <rFont val="Segoe UI"/>
            <family val="2"/>
          </rPr>
          <t xml:space="preserve">
CEO</t>
        </r>
      </text>
    </comment>
    <comment ref="F25" authorId="1" shapeId="0" xr:uid="{5079BC18-6997-4D62-A5EE-B05756C7C846}">
      <text>
        <r>
          <rPr>
            <b/>
            <sz val="9"/>
            <color indexed="81"/>
            <rFont val="Segoe UI"/>
            <charset val="1"/>
          </rPr>
          <t>Samuel Kruppa:</t>
        </r>
        <r>
          <rPr>
            <sz val="9"/>
            <color indexed="81"/>
            <rFont val="Segoe UI"/>
            <charset val="1"/>
          </rPr>
          <t xml:space="preserve">
Kriterienbasierter Modifier (0,7 - 1,3) bei dem ESG-Ziele eine Rolle spielen können, allerdings nur 1 Punkt von 7</t>
        </r>
      </text>
    </comment>
    <comment ref="G25" authorId="1" shapeId="0" xr:uid="{D2B45527-291B-4E24-80AB-C219C00C2387}">
      <text>
        <r>
          <rPr>
            <b/>
            <sz val="9"/>
            <color indexed="81"/>
            <rFont val="Segoe UI"/>
            <charset val="1"/>
          </rPr>
          <t>Samuel Kruppa:</t>
        </r>
        <r>
          <rPr>
            <sz val="9"/>
            <color indexed="81"/>
            <rFont val="Segoe UI"/>
            <charset val="1"/>
          </rPr>
          <t xml:space="preserve">
sehr gering, 1 von 7 Vorstandsziele, die Part des Multiplikators sind, sind ESG-Ziele</t>
        </r>
      </text>
    </comment>
    <comment ref="AB25" authorId="1" shapeId="0" xr:uid="{2240D435-E303-497B-9FE5-519C9D3010F1}">
      <text>
        <r>
          <rPr>
            <b/>
            <sz val="9"/>
            <color indexed="81"/>
            <rFont val="Segoe UI"/>
            <charset val="1"/>
          </rPr>
          <t>Samuel Kruppa:</t>
        </r>
        <r>
          <rPr>
            <sz val="9"/>
            <color indexed="81"/>
            <rFont val="Segoe UI"/>
            <charset val="1"/>
          </rPr>
          <t xml:space="preserve">
seit 2020 abgeschafft</t>
        </r>
      </text>
    </comment>
    <comment ref="AE25" authorId="1" shapeId="0" xr:uid="{6CE049F8-48EF-42F9-B066-323B5BEB1B8D}">
      <text>
        <r>
          <rPr>
            <b/>
            <sz val="9"/>
            <color indexed="81"/>
            <rFont val="Segoe UI"/>
            <family val="2"/>
          </rPr>
          <t>Samuel Kruppa:</t>
        </r>
        <r>
          <rPr>
            <sz val="9"/>
            <color indexed="81"/>
            <rFont val="Segoe UI"/>
            <family val="2"/>
          </rPr>
          <t xml:space="preserve">
CEO</t>
        </r>
      </text>
    </comment>
    <comment ref="AG25" authorId="1" shapeId="0" xr:uid="{E58CDFF7-FA0E-4EF3-A52C-B87297A977C0}">
      <text>
        <r>
          <rPr>
            <b/>
            <sz val="9"/>
            <color indexed="81"/>
            <rFont val="Segoe UI"/>
            <charset val="1"/>
          </rPr>
          <t>Samuel Kruppa:</t>
        </r>
        <r>
          <rPr>
            <sz val="9"/>
            <color indexed="81"/>
            <rFont val="Segoe UI"/>
            <charset val="1"/>
          </rPr>
          <t xml:space="preserve">
gemittelt, S.12</t>
        </r>
      </text>
    </comment>
    <comment ref="AI25" authorId="1" shapeId="0" xr:uid="{3E975A4A-CD58-4115-B0A3-4B578F2F29C4}">
      <text>
        <r>
          <rPr>
            <b/>
            <sz val="9"/>
            <color indexed="81"/>
            <rFont val="Segoe UI"/>
            <charset val="1"/>
          </rPr>
          <t>Samuel Kruppa:</t>
        </r>
        <r>
          <rPr>
            <sz val="9"/>
            <color indexed="81"/>
            <rFont val="Segoe UI"/>
            <charset val="1"/>
          </rPr>
          <t xml:space="preserve">
Tranche 2019</t>
        </r>
      </text>
    </comment>
    <comment ref="AK25" authorId="1" shapeId="0" xr:uid="{21AD19B4-265C-493D-A8BF-06C5B10AEB3A}">
      <text>
        <r>
          <rPr>
            <b/>
            <sz val="9"/>
            <color indexed="81"/>
            <rFont val="Segoe UI"/>
            <charset val="1"/>
          </rPr>
          <t>Samuel Kruppa:</t>
        </r>
        <r>
          <rPr>
            <sz val="9"/>
            <color indexed="81"/>
            <rFont val="Segoe UI"/>
            <charset val="1"/>
          </rPr>
          <t xml:space="preserve">
Geschäftsjahr 2026 75 Prozent CO2-Neutralität</t>
        </r>
      </text>
    </comment>
    <comment ref="AL25" authorId="1" shapeId="0" xr:uid="{8A317DDE-5EF5-4ED0-BDA7-488D44EC4BA3}">
      <text>
        <r>
          <rPr>
            <b/>
            <sz val="9"/>
            <color indexed="81"/>
            <rFont val="Segoe UI"/>
            <charset val="1"/>
          </rPr>
          <t>Samuel Kruppa:</t>
        </r>
        <r>
          <rPr>
            <sz val="9"/>
            <color indexed="81"/>
            <rFont val="Segoe UI"/>
            <charset val="1"/>
          </rPr>
          <t xml:space="preserve">
Tranche 2023</t>
        </r>
      </text>
    </comment>
    <comment ref="F26" authorId="1" shapeId="0" xr:uid="{D45A9F42-7403-4F7F-9C50-3DC828122990}">
      <text>
        <r>
          <rPr>
            <b/>
            <sz val="9"/>
            <color indexed="81"/>
            <rFont val="Segoe UI"/>
            <charset val="1"/>
          </rPr>
          <t>Samuel Kruppa:</t>
        </r>
        <r>
          <rPr>
            <sz val="9"/>
            <color indexed="81"/>
            <rFont val="Segoe UI"/>
            <charset val="1"/>
          </rPr>
          <t xml:space="preserve">
nichtfianzielle Leistungskriterien (-10% bis +10%); 
Transformationsziele (-25% bis 25%), die jeweils aus ESG Zielen bestehen und die Finanziellen Leistungskriterien, vergrößern bzw. verkleinern können</t>
        </r>
      </text>
    </comment>
    <comment ref="G26" authorId="1" shapeId="0" xr:uid="{8745CC0C-76C6-4D4A-AA2B-460C293C54E8}">
      <text>
        <r>
          <rPr>
            <b/>
            <sz val="9"/>
            <color indexed="81"/>
            <rFont val="Segoe UI"/>
            <charset val="1"/>
          </rPr>
          <t>Samuel Kruppa:</t>
        </r>
        <r>
          <rPr>
            <sz val="9"/>
            <color indexed="81"/>
            <rFont val="Segoe UI"/>
            <charset val="1"/>
          </rPr>
          <t xml:space="preserve">
gemittelt, nichtfianzielle Leistungskriterien 3 von 4 Zielen ESG; Transformationsziele alle ESG</t>
        </r>
      </text>
    </comment>
    <comment ref="K26" authorId="1" shapeId="0" xr:uid="{1CDF4D24-D310-44F8-B448-14322BAB70F1}">
      <text>
        <r>
          <rPr>
            <b/>
            <sz val="9"/>
            <color indexed="81"/>
            <rFont val="Segoe UI"/>
            <family val="2"/>
          </rPr>
          <t>Samuel Kruppa:</t>
        </r>
        <r>
          <rPr>
            <sz val="9"/>
            <color indexed="81"/>
            <rFont val="Segoe UI"/>
            <family val="2"/>
          </rPr>
          <t xml:space="preserve">
Die CO2-Emissionen wurden rechnerisch ermittelt und
mit dem gesetzten Ziel verglichen. In Europa betrugen
die durchschnittlichen CO2-Emissionen der Mercedes-
Benz Neuwagenflotte unter Anwendung der gesetzlichen
Regelungen 111 g/km1 und bewegten sich somit auf
geringerem Niveau als im Vorjahr. In den USA beträgt
der Flottenwert für das Modelljahr 2023 170 g CO2/mi
für PKW-Fahrzeuge und 259 g CO2/mi für die als leichte
Nutzfahrzeuge zugelassenen Vans und SUVs. In Europa
und in den USA hat Mercedes-Benz durch die Zunahme
des Flottenanteils elektrifizierter Fahrzeuge ihre Flottenziele
erreicht. In China werden inländisch produzierte
und in das Land importierte PKW getrennt und
nach Flottenverbrauch ausgewiesen. Das Ziel wurde mit
8,46 l/100km überschritten.</t>
        </r>
      </text>
    </comment>
    <comment ref="L26" authorId="1" shapeId="0" xr:uid="{C62049CF-66E4-40F7-976F-B10102698BC5}">
      <text>
        <r>
          <rPr>
            <b/>
            <sz val="9"/>
            <color indexed="81"/>
            <rFont val="Segoe UI"/>
            <charset val="1"/>
          </rPr>
          <t>Samuel Kruppa:</t>
        </r>
        <r>
          <rPr>
            <sz val="9"/>
            <color indexed="81"/>
            <rFont val="Segoe UI"/>
            <charset val="1"/>
          </rPr>
          <t xml:space="preserve">
Insgesamt können aus den drei Zielen CO2-Emissionen, Sicherheitsinnovationen und Stakeholderbeziehungen bis zu 25% auf den Zielerreichungsgrad auf- oder abgeschlagen werden.</t>
        </r>
      </text>
    </comment>
    <comment ref="P26" authorId="1" shapeId="0" xr:uid="{BD60A299-0A35-456D-B69F-59D0D9DC0CFE}">
      <text>
        <r>
          <rPr>
            <b/>
            <sz val="9"/>
            <color indexed="81"/>
            <rFont val="Segoe UI"/>
            <charset val="1"/>
          </rPr>
          <t>Samuel Kruppa:</t>
        </r>
        <r>
          <rPr>
            <sz val="9"/>
            <color indexed="81"/>
            <rFont val="Segoe UI"/>
            <charset val="1"/>
          </rPr>
          <t xml:space="preserve">
Mitarbeiterbindung, ZE 100%</t>
        </r>
      </text>
    </comment>
    <comment ref="Q26" authorId="1" shapeId="0" xr:uid="{9C4E8191-9E86-4486-9424-C460A47ECC25}">
      <text>
        <r>
          <rPr>
            <b/>
            <sz val="9"/>
            <color indexed="81"/>
            <rFont val="Segoe UI"/>
            <charset val="1"/>
          </rPr>
          <t>Samuel Kruppa:</t>
        </r>
        <r>
          <rPr>
            <sz val="9"/>
            <color indexed="81"/>
            <rFont val="Segoe UI"/>
            <charset val="1"/>
          </rPr>
          <t xml:space="preserve">
je Ziel können bis zu 2,5% auf den Zielerreichungsgrad auf- oder abgeschlagen werden</t>
        </r>
      </text>
    </comment>
    <comment ref="R26" authorId="1" shapeId="0" xr:uid="{A53DA0A8-CDA2-48DC-86B6-FB73C752B630}">
      <text>
        <r>
          <rPr>
            <b/>
            <sz val="9"/>
            <color indexed="81"/>
            <rFont val="Segoe UI"/>
            <family val="2"/>
          </rPr>
          <t>Samuel Kruppa:</t>
        </r>
        <r>
          <rPr>
            <sz val="9"/>
            <color indexed="81"/>
            <rFont val="Segoe UI"/>
            <family val="2"/>
          </rPr>
          <t xml:space="preserve">
ZE 80%; </t>
        </r>
      </text>
    </comment>
    <comment ref="S26" authorId="1" shapeId="0" xr:uid="{4995FD03-7381-48E0-8AA7-29CDA8A2564B}">
      <text>
        <r>
          <rPr>
            <b/>
            <sz val="9"/>
            <color indexed="81"/>
            <rFont val="Segoe UI"/>
            <charset val="1"/>
          </rPr>
          <t>Samuel Kruppa:</t>
        </r>
        <r>
          <rPr>
            <sz val="9"/>
            <color indexed="81"/>
            <rFont val="Segoe UI"/>
            <charset val="1"/>
          </rPr>
          <t xml:space="preserve">
je Ziel können bis zu 2,5% auf den Zielerreichungsgrad auf- oder abgeschlagen werden;
Insgesamt können aus den drei Zielen CO2-Emissionen, Sicherheitsinnovationen und Stakeholderbeziehungen bis zu 25% auf den Zielerreichungsgrad auf- oder abgeschlagen werden.</t>
        </r>
      </text>
    </comment>
    <comment ref="W26" authorId="1" shapeId="0" xr:uid="{A28646D0-5A8D-454B-832D-3A95F0EF8A8E}">
      <text>
        <r>
          <rPr>
            <b/>
            <sz val="9"/>
            <color indexed="81"/>
            <rFont val="Segoe UI"/>
            <family val="2"/>
          </rPr>
          <t>Samuel Kruppa:</t>
        </r>
        <r>
          <rPr>
            <sz val="9"/>
            <color indexed="81"/>
            <rFont val="Segoe UI"/>
            <family val="2"/>
          </rPr>
          <t xml:space="preserve">
ZE 80%</t>
        </r>
      </text>
    </comment>
    <comment ref="X26" authorId="1" shapeId="0" xr:uid="{4A07AE55-0037-42ED-A738-E602D895351C}">
      <text>
        <r>
          <rPr>
            <b/>
            <sz val="9"/>
            <color indexed="81"/>
            <rFont val="Segoe UI"/>
            <charset val="1"/>
          </rPr>
          <t>Samuel Kruppa:</t>
        </r>
        <r>
          <rPr>
            <sz val="9"/>
            <color indexed="81"/>
            <rFont val="Segoe UI"/>
            <charset val="1"/>
          </rPr>
          <t xml:space="preserve">
Integretät: je Ziel können bis zu 2,5% auf den Zielerreichungsgrad auf- oder abgeschlagen werden.
</t>
        </r>
      </text>
    </comment>
    <comment ref="AI26" authorId="1" shapeId="0" xr:uid="{AF2DA55E-E18F-4709-8CDA-65977BF78691}">
      <text>
        <r>
          <rPr>
            <b/>
            <sz val="9"/>
            <color indexed="81"/>
            <rFont val="Segoe UI"/>
            <charset val="1"/>
          </rPr>
          <t>Samuel Kruppa:</t>
        </r>
        <r>
          <rPr>
            <sz val="9"/>
            <color indexed="81"/>
            <rFont val="Segoe UI"/>
            <charset val="1"/>
          </rPr>
          <t xml:space="preserve">
Tranche 2019</t>
        </r>
      </text>
    </comment>
    <comment ref="AJ26" authorId="1" shapeId="0" xr:uid="{EB812C4F-10F7-4614-A4F0-6F1EC6B12F54}">
      <text>
        <r>
          <rPr>
            <b/>
            <sz val="9"/>
            <color indexed="81"/>
            <rFont val="Segoe UI"/>
            <charset val="1"/>
          </rPr>
          <t>Samuel Kruppa:</t>
        </r>
        <r>
          <rPr>
            <sz val="9"/>
            <color indexed="81"/>
            <rFont val="Segoe UI"/>
            <charset val="1"/>
          </rPr>
          <t xml:space="preserve">
Die ESG-Ziele wurden erst im GJ 2023 eingesetzt sind noch nicht bestimmt.</t>
        </r>
      </text>
    </comment>
    <comment ref="AO26" authorId="1" shapeId="0" xr:uid="{76AD9CED-E944-4471-AE2B-18EBF0F81B96}">
      <text>
        <r>
          <rPr>
            <b/>
            <sz val="9"/>
            <color indexed="81"/>
            <rFont val="Segoe UI"/>
            <charset val="1"/>
          </rPr>
          <t>Samuel Kruppa:</t>
        </r>
        <r>
          <rPr>
            <sz val="9"/>
            <color indexed="81"/>
            <rFont val="Segoe UI"/>
            <charset val="1"/>
          </rPr>
          <t xml:space="preserve">
Die ESG-Ziele wurden erst im GJ 2023 eingesetzt sind noch nicht bestimmt.</t>
        </r>
      </text>
    </comment>
    <comment ref="AT26" authorId="1" shapeId="0" xr:uid="{42F74F88-6ABB-48D4-8481-3B0C7A9C1537}">
      <text>
        <r>
          <rPr>
            <b/>
            <sz val="9"/>
            <color indexed="81"/>
            <rFont val="Segoe UI"/>
            <charset val="1"/>
          </rPr>
          <t>Samuel Kruppa:</t>
        </r>
        <r>
          <rPr>
            <sz val="9"/>
            <color indexed="81"/>
            <rFont val="Segoe UI"/>
            <charset val="1"/>
          </rPr>
          <t xml:space="preserve">
Die ESG-Ziele wurden erst im GJ 2023 eingesetzt sind noch nicht bestimmt.</t>
        </r>
      </text>
    </comment>
    <comment ref="D27" authorId="1" shapeId="0" xr:uid="{23C9913E-DFB0-4524-9862-265802611FD2}">
      <text>
        <r>
          <rPr>
            <b/>
            <sz val="9"/>
            <color indexed="81"/>
            <rFont val="Segoe UI"/>
            <charset val="1"/>
          </rPr>
          <t>Samuel Kruppa:</t>
        </r>
        <r>
          <rPr>
            <sz val="9"/>
            <color indexed="81"/>
            <rFont val="Segoe UI"/>
            <charset val="1"/>
          </rPr>
          <t xml:space="preserve">
CEO, 2023 keine LTI Auszahlung</t>
        </r>
      </text>
    </comment>
    <comment ref="F27" authorId="1" shapeId="0" xr:uid="{88196E19-4B33-4835-A1C3-6C4A5019891B}">
      <text>
        <r>
          <rPr>
            <b/>
            <sz val="9"/>
            <color indexed="81"/>
            <rFont val="Segoe UI"/>
            <charset val="1"/>
          </rPr>
          <t>Samuel Kruppa:</t>
        </r>
        <r>
          <rPr>
            <sz val="9"/>
            <color indexed="81"/>
            <rFont val="Segoe UI"/>
            <charset val="1"/>
          </rPr>
          <t xml:space="preserve">
Individueller
Faktor für Leistung und Nachhaltigkeit (0,8 bis 1,2)</t>
        </r>
      </text>
    </comment>
    <comment ref="G27" authorId="1" shapeId="0" xr:uid="{7EC1A62E-96CD-49A3-A687-B683D6853328}">
      <text>
        <r>
          <rPr>
            <b/>
            <sz val="9"/>
            <color indexed="81"/>
            <rFont val="Segoe UI"/>
            <family val="2"/>
          </rPr>
          <t>Samuel Kruppa:</t>
        </r>
        <r>
          <rPr>
            <sz val="9"/>
            <color indexed="81"/>
            <rFont val="Segoe UI"/>
            <family val="2"/>
          </rPr>
          <t xml:space="preserve">
5 von 11 Zielen sind ESG. Gemittelt nach S.188</t>
        </r>
      </text>
    </comment>
    <comment ref="J27" authorId="1" shapeId="0" xr:uid="{13321F95-69EE-46D8-9930-89A01850CB74}">
      <text>
        <r>
          <rPr>
            <b/>
            <sz val="9"/>
            <color indexed="81"/>
            <rFont val="Segoe UI"/>
            <charset val="1"/>
          </rPr>
          <t>Samuel Kruppa:</t>
        </r>
        <r>
          <rPr>
            <sz val="9"/>
            <color indexed="81"/>
            <rFont val="Segoe UI"/>
            <charset val="1"/>
          </rPr>
          <t xml:space="preserve">
Keine genaue Erklärung des individuellen Faktor für Leistung und Nachhaltigkeit</t>
        </r>
      </text>
    </comment>
    <comment ref="O27" authorId="1" shapeId="0" xr:uid="{09D8BDAF-8B81-431C-B42C-C48758F76B84}">
      <text>
        <r>
          <rPr>
            <b/>
            <sz val="9"/>
            <color indexed="81"/>
            <rFont val="Segoe UI"/>
            <charset val="1"/>
          </rPr>
          <t>Samuel Kruppa:</t>
        </r>
        <r>
          <rPr>
            <sz val="9"/>
            <color indexed="81"/>
            <rFont val="Segoe UI"/>
            <charset val="1"/>
          </rPr>
          <t xml:space="preserve">
Keine genaue Erklärung des individuellen Faktor für Leistung und Nachhaltigkeit</t>
        </r>
      </text>
    </comment>
    <comment ref="U27" authorId="1" shapeId="0" xr:uid="{5DD06A1A-B307-4035-9D93-786B737933D3}">
      <text>
        <r>
          <rPr>
            <b/>
            <sz val="9"/>
            <color indexed="81"/>
            <rFont val="Segoe UI"/>
            <charset val="1"/>
          </rPr>
          <t>Samuel Kruppa:</t>
        </r>
        <r>
          <rPr>
            <sz val="9"/>
            <color indexed="81"/>
            <rFont val="Segoe UI"/>
            <charset val="1"/>
          </rPr>
          <t xml:space="preserve">
3 negative Kriterien: 
-Verstöße gegen interne Regelungen und Richtlinien
(beispielsweise Merck-Verhaltenskodex), Gesetze oder sonstige
verbindliche externe Vorgaben im verantworteten Bereich
• erhebliche Verletzungen der Sorgfaltspflichten im Sinne des
§ 93 AktG oder sonstiges grob pflicht- oder sittenwidriges
Verhalten
• Verhaltensweisen oder Handlungen, die im Widerspruch zu
unseren Unternehmenswerten stehen</t>
        </r>
      </text>
    </comment>
    <comment ref="AD27" authorId="1" shapeId="0" xr:uid="{61A1C559-C5F0-4B06-963D-DDFF632F9345}">
      <text>
        <r>
          <rPr>
            <b/>
            <sz val="9"/>
            <color indexed="81"/>
            <rFont val="Segoe UI"/>
            <charset val="1"/>
          </rPr>
          <t>Samuel Kruppa:</t>
        </r>
        <r>
          <rPr>
            <sz val="9"/>
            <color indexed="81"/>
            <rFont val="Segoe UI"/>
            <charset val="1"/>
          </rPr>
          <t xml:space="preserve">
Im Jahr 2021 wurde der überarbeitete LTIP mit einer Performance Periode von vier Jahren (vorher drei Jahre) eingeführt, was zu einer Auszahlungslücke
ohne Überbrückungszahlung führt. Die LTIP-Tranche 2021 läuft noch bis 31. Dezember 2024 und wird aufgrund der einjährigen Halteperiode im April 2025
ausgezahlt. Daher gab es 2023 keine LTI-Auszahlung. S. 182</t>
        </r>
      </text>
    </comment>
    <comment ref="AF27" authorId="1" shapeId="0" xr:uid="{1F8094EF-E19B-437C-96C6-E9CDB1D34A3A}">
      <text>
        <r>
          <rPr>
            <b/>
            <sz val="9"/>
            <color indexed="81"/>
            <rFont val="Segoe UI"/>
            <charset val="1"/>
          </rPr>
          <t>Samuel Kruppa:</t>
        </r>
        <r>
          <rPr>
            <sz val="9"/>
            <color indexed="81"/>
            <rFont val="Segoe UI"/>
            <charset val="1"/>
          </rPr>
          <t xml:space="preserve">
Nachhaltigkeitsfaktor (0.8 - 1.2)</t>
        </r>
      </text>
    </comment>
    <comment ref="AI27" authorId="1" shapeId="0" xr:uid="{E8E21179-4CBF-415A-BFD6-55C33D4C43D3}">
      <text>
        <r>
          <rPr>
            <b/>
            <sz val="9"/>
            <color indexed="81"/>
            <rFont val="Segoe UI"/>
            <charset val="1"/>
          </rPr>
          <t>Samuel Kruppa:</t>
        </r>
        <r>
          <rPr>
            <sz val="9"/>
            <color indexed="81"/>
            <rFont val="Segoe UI"/>
            <charset val="1"/>
          </rPr>
          <t xml:space="preserve">
LTIP 2020</t>
        </r>
      </text>
    </comment>
    <comment ref="AK27" authorId="1" shapeId="0" xr:uid="{B429656B-7401-4406-A4C5-FB9886A19B7D}">
      <text>
        <r>
          <rPr>
            <b/>
            <sz val="9"/>
            <color indexed="81"/>
            <rFont val="Segoe UI"/>
            <charset val="1"/>
          </rPr>
          <t>Samuel Kruppa:</t>
        </r>
        <r>
          <rPr>
            <sz val="9"/>
            <color indexed="81"/>
            <rFont val="Segoe UI"/>
            <charset val="1"/>
          </rPr>
          <t xml:space="preserve">
Unseren ökologischen Fußabdruck
reduzieren: Treibhausgasemissionen Scope 1+2</t>
        </r>
      </text>
    </comment>
    <comment ref="AL27" authorId="1" shapeId="0" xr:uid="{AE6673E4-92D6-444C-9A69-3AA004678FFE}">
      <text>
        <r>
          <rPr>
            <b/>
            <sz val="9"/>
            <color indexed="81"/>
            <rFont val="Segoe UI"/>
            <charset val="1"/>
          </rPr>
          <t>Samuel Kruppa:</t>
        </r>
        <r>
          <rPr>
            <sz val="9"/>
            <color indexed="81"/>
            <rFont val="Segoe UI"/>
            <charset val="1"/>
          </rPr>
          <t xml:space="preserve">
40% des Nachhaltigkeitsfaktor</t>
        </r>
      </text>
    </comment>
    <comment ref="AN27" authorId="1" shapeId="0" xr:uid="{1B27BCEB-4F40-466A-B016-72A391485260}">
      <text>
        <r>
          <rPr>
            <b/>
            <sz val="9"/>
            <color indexed="81"/>
            <rFont val="Segoe UI"/>
            <charset val="1"/>
          </rPr>
          <t>Samuel Kruppa:</t>
        </r>
        <r>
          <rPr>
            <sz val="9"/>
            <color indexed="81"/>
            <rFont val="Segoe UI"/>
            <charset val="1"/>
          </rPr>
          <t xml:space="preserve">
30% des Nachhaltigkeitsfaktor</t>
        </r>
      </text>
    </comment>
    <comment ref="AS27" authorId="1" shapeId="0" xr:uid="{630E2AA7-780D-4285-AE14-931F52D8CDC0}">
      <text>
        <r>
          <rPr>
            <b/>
            <sz val="9"/>
            <color indexed="81"/>
            <rFont val="Segoe UI"/>
            <charset val="1"/>
          </rPr>
          <t>Samuel Kruppa:</t>
        </r>
        <r>
          <rPr>
            <sz val="9"/>
            <color indexed="81"/>
            <rFont val="Segoe UI"/>
            <charset val="1"/>
          </rPr>
          <t xml:space="preserve">
30% des Nachhaltigkeitsfaktor</t>
        </r>
      </text>
    </comment>
    <comment ref="F28" authorId="1" shapeId="0" xr:uid="{12A9AC68-CAAF-477C-963C-AC3E6E9A9B96}">
      <text>
        <r>
          <rPr>
            <b/>
            <sz val="9"/>
            <color indexed="81"/>
            <rFont val="Segoe UI"/>
            <charset val="1"/>
          </rPr>
          <t>Samuel Kruppa:</t>
        </r>
        <r>
          <rPr>
            <sz val="9"/>
            <color indexed="81"/>
            <rFont val="Segoe UI"/>
            <charset val="1"/>
          </rPr>
          <t xml:space="preserve">
Es gibt einen ESG-Multiplikator (0.8-1.2)  </t>
        </r>
      </text>
    </comment>
    <comment ref="K28" authorId="1" shapeId="0" xr:uid="{92BF956A-6520-4386-89B6-389C158DB6A5}">
      <text>
        <r>
          <rPr>
            <b/>
            <sz val="9"/>
            <color indexed="81"/>
            <rFont val="Segoe UI"/>
            <charset val="1"/>
          </rPr>
          <t>Samuel Kruppa:</t>
        </r>
        <r>
          <rPr>
            <sz val="9"/>
            <color indexed="81"/>
            <rFont val="Segoe UI"/>
            <charset val="1"/>
          </rPr>
          <t xml:space="preserve">
klimaschädliche Emissionsreduzierung im Standortbetrieb, ZE 119%</t>
        </r>
      </text>
    </comment>
    <comment ref="R28" authorId="1" shapeId="0" xr:uid="{3F097316-50F1-4395-8A4B-FAB4388F255D}">
      <text>
        <r>
          <rPr>
            <b/>
            <sz val="9"/>
            <color indexed="81"/>
            <rFont val="Segoe UI"/>
            <family val="2"/>
          </rPr>
          <t>Samuel Kruppa:</t>
        </r>
        <r>
          <rPr>
            <sz val="9"/>
            <color indexed="81"/>
            <rFont val="Segoe UI"/>
            <family val="2"/>
          </rPr>
          <t xml:space="preserve">
ZE 120%</t>
        </r>
      </text>
    </comment>
    <comment ref="AI28" authorId="1" shapeId="0" xr:uid="{E9D11E56-3989-4D84-BBD0-F07367FC082E}">
      <text>
        <r>
          <rPr>
            <b/>
            <sz val="9"/>
            <color indexed="81"/>
            <rFont val="Segoe UI"/>
            <family val="2"/>
          </rPr>
          <t>Samuel Kruppa:</t>
        </r>
        <r>
          <rPr>
            <sz val="9"/>
            <color indexed="81"/>
            <rFont val="Segoe UI"/>
            <family val="2"/>
          </rPr>
          <t xml:space="preserve">
Tranche 21-23</t>
        </r>
      </text>
    </comment>
    <comment ref="E29" authorId="1" shapeId="0" xr:uid="{5070ACDF-8018-4286-905A-26E72773EAB2}">
      <text>
        <r>
          <rPr>
            <b/>
            <sz val="9"/>
            <color indexed="81"/>
            <rFont val="Segoe UI"/>
            <charset val="1"/>
          </rPr>
          <t>Samuel Kruppa:</t>
        </r>
        <r>
          <rPr>
            <sz val="9"/>
            <color indexed="81"/>
            <rFont val="Segoe UI"/>
            <charset val="1"/>
          </rPr>
          <t xml:space="preserve">
3 Überpunkte</t>
        </r>
      </text>
    </comment>
    <comment ref="F29" authorId="1" shapeId="0" xr:uid="{30F62418-E980-4C2D-ABBB-1C0B883152C9}">
      <text>
        <r>
          <rPr>
            <b/>
            <sz val="9"/>
            <color indexed="81"/>
            <rFont val="Segoe UI"/>
            <charset val="1"/>
          </rPr>
          <t>Samuel Kruppa:</t>
        </r>
        <r>
          <rPr>
            <sz val="9"/>
            <color indexed="81"/>
            <rFont val="Segoe UI"/>
            <charset val="1"/>
          </rPr>
          <t xml:space="preserve">
ESG_faktor (0,9 - 1,1): Bis zu 10 %-Punkte Zu-/Abschlag auf Basis ESG-Kriterien</t>
        </r>
      </text>
    </comment>
    <comment ref="K29" authorId="1" shapeId="0" xr:uid="{E4899E27-09B2-4B54-9C18-BB7165F6810F}">
      <text>
        <r>
          <rPr>
            <b/>
            <sz val="9"/>
            <color indexed="81"/>
            <rFont val="Segoe UI"/>
            <charset val="1"/>
          </rPr>
          <t>Samuel Kruppa:</t>
        </r>
        <r>
          <rPr>
            <sz val="9"/>
            <color indexed="81"/>
            <rFont val="Segoe UI"/>
            <charset val="1"/>
          </rPr>
          <t xml:space="preserve">
Reduktion des CO2 Fussabdrucks</t>
        </r>
      </text>
    </comment>
    <comment ref="U29" authorId="1" shapeId="0" xr:uid="{6395D8A8-7E52-4C01-8406-BECC011BA7C8}">
      <text>
        <r>
          <rPr>
            <b/>
            <sz val="9"/>
            <color indexed="81"/>
            <rFont val="Segoe UI"/>
            <charset val="1"/>
          </rPr>
          <t>Samuel Kruppa:</t>
        </r>
        <r>
          <rPr>
            <sz val="9"/>
            <color indexed="81"/>
            <rFont val="Segoe UI"/>
            <charset val="1"/>
          </rPr>
          <t xml:space="preserve">
Einhalten von Richtlinien/ Compliance-Anforderungen</t>
        </r>
      </text>
    </comment>
    <comment ref="AF29" authorId="1" shapeId="0" xr:uid="{9B19ED70-C9F2-42AB-9329-C2626F497BCE}">
      <text>
        <r>
          <rPr>
            <b/>
            <sz val="9"/>
            <color indexed="81"/>
            <rFont val="Segoe UI"/>
            <charset val="1"/>
          </rPr>
          <t>Samuel Kruppa:</t>
        </r>
        <r>
          <rPr>
            <sz val="9"/>
            <color indexed="81"/>
            <rFont val="Segoe UI"/>
            <charset val="1"/>
          </rPr>
          <t xml:space="preserve">
selber ESG-Multiplier wie bei STI; KPI</t>
        </r>
      </text>
    </comment>
    <comment ref="AI29" authorId="1" shapeId="0" xr:uid="{7BE7222F-4F09-416F-8A74-1DB3E4742252}">
      <text>
        <r>
          <rPr>
            <b/>
            <sz val="9"/>
            <color indexed="81"/>
            <rFont val="Segoe UI"/>
            <charset val="1"/>
          </rPr>
          <t>Samuel Kruppa:</t>
        </r>
        <r>
          <rPr>
            <sz val="9"/>
            <color indexed="81"/>
            <rFont val="Segoe UI"/>
            <charset val="1"/>
          </rPr>
          <t xml:space="preserve">
LTI 19-22, Auszahlung 23</t>
        </r>
      </text>
    </comment>
    <comment ref="AK29" authorId="1" shapeId="0" xr:uid="{00C2F654-954A-40B4-962D-2ED13D96EFC1}">
      <text>
        <r>
          <rPr>
            <b/>
            <sz val="9"/>
            <color indexed="81"/>
            <rFont val="Segoe UI"/>
            <charset val="1"/>
          </rPr>
          <t>Samuel Kruppa:</t>
        </r>
        <r>
          <rPr>
            <sz val="9"/>
            <color indexed="81"/>
            <rFont val="Segoe UI"/>
            <charset val="1"/>
          </rPr>
          <t xml:space="preserve">
Reduktion CO2 Fussabdruck; 
Definition einer Klimaambition für 2030 im Einklang mit dem Netto-Null-Ziel für
2050 und Erfüllung der Selbstverpflichtungen</t>
        </r>
      </text>
    </comment>
    <comment ref="AL29" authorId="1" shapeId="0" xr:uid="{7CC9E4FD-C28A-472A-8537-3EC853BAB5B7}">
      <text>
        <r>
          <rPr>
            <sz val="11"/>
            <color theme="1"/>
            <rFont val="Aptos Narrow"/>
            <family val="2"/>
            <scheme val="minor"/>
          </rPr>
          <t>Samuel Kruppa:
erstgenanntes Ziel vor dem Semikolon ist dem Multiplikator untergeordnet</t>
        </r>
      </text>
    </comment>
    <comment ref="AU29" authorId="1" shapeId="0" xr:uid="{F4B0F401-2F28-4713-9D17-15CE9E6ED304}">
      <text>
        <r>
          <rPr>
            <b/>
            <sz val="9"/>
            <color indexed="81"/>
            <rFont val="Segoe UI"/>
            <family val="2"/>
          </rPr>
          <t>Samuel Kruppa:</t>
        </r>
        <r>
          <rPr>
            <sz val="9"/>
            <color indexed="81"/>
            <rFont val="Segoe UI"/>
            <family val="2"/>
          </rPr>
          <t xml:space="preserve">
Compliance Kultur</t>
        </r>
      </text>
    </comment>
    <comment ref="D30" authorId="1" shapeId="0" xr:uid="{E7572684-5C3F-45A8-AC01-96AB9E3E1F5A}">
      <text>
        <r>
          <rPr>
            <b/>
            <sz val="9"/>
            <color indexed="81"/>
            <rFont val="Segoe UI"/>
            <charset val="1"/>
          </rPr>
          <t>Samuel Kruppa:</t>
        </r>
        <r>
          <rPr>
            <sz val="9"/>
            <color indexed="81"/>
            <rFont val="Segoe UI"/>
            <charset val="1"/>
          </rPr>
          <t xml:space="preserve">
CEO, berechnet nach S.8</t>
        </r>
      </text>
    </comment>
    <comment ref="F30" authorId="1" shapeId="0" xr:uid="{B4903BC5-DB17-45C8-9031-C355C96F88D1}">
      <text>
        <r>
          <rPr>
            <b/>
            <sz val="9"/>
            <color indexed="81"/>
            <rFont val="Segoe UI"/>
            <charset val="1"/>
          </rPr>
          <t>Samuel Kruppa:</t>
        </r>
        <r>
          <rPr>
            <sz val="9"/>
            <color indexed="81"/>
            <rFont val="Segoe UI"/>
            <charset val="1"/>
          </rPr>
          <t xml:space="preserve">
ES-Faktor (0.7-1.3) und G-Faktor (0.9-1.1), insgesamt (0.63-1.43)</t>
        </r>
      </text>
    </comment>
    <comment ref="I30" authorId="1" shapeId="0" xr:uid="{53BE0A11-6467-417B-9EBB-33C8C08374AE}">
      <text>
        <r>
          <rPr>
            <b/>
            <sz val="9"/>
            <color indexed="81"/>
            <rFont val="Segoe UI"/>
            <charset val="1"/>
          </rPr>
          <t>Samuel Kruppa:</t>
        </r>
        <r>
          <rPr>
            <sz val="9"/>
            <color indexed="81"/>
            <rFont val="Segoe UI"/>
            <charset val="1"/>
          </rPr>
          <t xml:space="preserve">
ROS und ROI Wert * ESG-Faktor (S.13 und 14)</t>
        </r>
      </text>
    </comment>
    <comment ref="K30" authorId="1" shapeId="0" xr:uid="{432B2682-BF62-4B9D-9BA3-41E2D4CAEC38}">
      <text>
        <r>
          <rPr>
            <b/>
            <sz val="9"/>
            <color indexed="81"/>
            <rFont val="Segoe UI"/>
            <charset val="1"/>
          </rPr>
          <t>Samuel Kruppa:</t>
        </r>
        <r>
          <rPr>
            <sz val="9"/>
            <color indexed="81"/>
            <rFont val="Segoe UI"/>
            <charset val="1"/>
          </rPr>
          <t xml:space="preserve">
Dekarbonisierungsindex, ZE 126%</t>
        </r>
      </text>
    </comment>
    <comment ref="L30" authorId="1" shapeId="0" xr:uid="{316C76FA-CFB4-4BCC-8080-8F7F17CCC35F}">
      <text>
        <r>
          <rPr>
            <b/>
            <sz val="9"/>
            <color indexed="81"/>
            <rFont val="Segoe UI"/>
            <charset val="1"/>
          </rPr>
          <t>Samuel Kruppa:</t>
        </r>
        <r>
          <rPr>
            <sz val="9"/>
            <color indexed="81"/>
            <rFont val="Segoe UI"/>
            <charset val="1"/>
          </rPr>
          <t xml:space="preserve">
50% des ES-Faktors</t>
        </r>
      </text>
    </comment>
    <comment ref="R30" authorId="1" shapeId="0" xr:uid="{BC72AA6A-2F8A-47C3-A126-8C44A6D1211F}">
      <text>
        <r>
          <rPr>
            <b/>
            <sz val="9"/>
            <color indexed="81"/>
            <rFont val="Segoe UI"/>
            <charset val="1"/>
          </rPr>
          <t>Samuel Kruppa:</t>
        </r>
        <r>
          <rPr>
            <sz val="9"/>
            <color indexed="81"/>
            <rFont val="Segoe UI"/>
            <charset val="1"/>
          </rPr>
          <t xml:space="preserve">
ZE 1,16 (gemittelt, S.14); ZE 126%</t>
        </r>
      </text>
    </comment>
    <comment ref="S30" authorId="1" shapeId="0" xr:uid="{61EFE9DD-B179-4540-8000-E3B74BF3C301}">
      <text>
        <r>
          <rPr>
            <b/>
            <sz val="9"/>
            <color indexed="81"/>
            <rFont val="Segoe UI"/>
            <charset val="1"/>
          </rPr>
          <t>Samuel Kruppa:</t>
        </r>
        <r>
          <rPr>
            <sz val="9"/>
            <color indexed="81"/>
            <rFont val="Segoe UI"/>
            <charset val="1"/>
          </rPr>
          <t xml:space="preserve">
je 25% des ES-Faktors</t>
        </r>
      </text>
    </comment>
    <comment ref="U30" authorId="1" shapeId="0" xr:uid="{A55C047D-9C88-4F2A-A98D-A6E7C3D06EF4}">
      <text>
        <r>
          <rPr>
            <b/>
            <sz val="9"/>
            <color indexed="81"/>
            <rFont val="Segoe UI"/>
            <charset val="1"/>
          </rPr>
          <t>Samuel Kruppa:</t>
        </r>
        <r>
          <rPr>
            <sz val="9"/>
            <color indexed="81"/>
            <rFont val="Segoe UI"/>
            <charset val="1"/>
          </rPr>
          <t xml:space="preserve">
G-Faktor-Kriterien: Integrität und Compliance, ZE 100%</t>
        </r>
      </text>
    </comment>
    <comment ref="V30" authorId="1" shapeId="0" xr:uid="{F7669D6B-A86D-431D-B10A-C30B3B52AA22}">
      <text>
        <r>
          <rPr>
            <b/>
            <sz val="9"/>
            <color indexed="81"/>
            <rFont val="Segoe UI"/>
            <charset val="1"/>
          </rPr>
          <t>Samuel Kruppa:</t>
        </r>
        <r>
          <rPr>
            <sz val="9"/>
            <color indexed="81"/>
            <rFont val="Segoe UI"/>
            <charset val="1"/>
          </rPr>
          <t xml:space="preserve">
100% des G-Faktors</t>
        </r>
      </text>
    </comment>
    <comment ref="AD30" authorId="1" shapeId="0" xr:uid="{48379AE6-3E26-4DB3-A673-5A7F5049BDA7}">
      <text>
        <r>
          <rPr>
            <b/>
            <sz val="9"/>
            <color indexed="81"/>
            <rFont val="Segoe UI"/>
            <charset val="1"/>
          </rPr>
          <t>Samuel Kruppa:</t>
        </r>
        <r>
          <rPr>
            <sz val="9"/>
            <color indexed="81"/>
            <rFont val="Segoe UI"/>
            <charset val="1"/>
          </rPr>
          <t xml:space="preserve">
CEO, berechnet nach S.8</t>
        </r>
      </text>
    </comment>
    <comment ref="AI30" authorId="1" shapeId="0" xr:uid="{F3E5A24C-F649-4CA3-8193-E416731BEB72}">
      <text>
        <r>
          <rPr>
            <b/>
            <sz val="9"/>
            <color indexed="81"/>
            <rFont val="Segoe UI"/>
            <charset val="1"/>
          </rPr>
          <t>Samuel Kruppa:</t>
        </r>
        <r>
          <rPr>
            <sz val="9"/>
            <color indexed="81"/>
            <rFont val="Segoe UI"/>
            <charset val="1"/>
          </rPr>
          <t xml:space="preserve">
Periode 2020-22</t>
        </r>
      </text>
    </comment>
    <comment ref="D31" authorId="1" shapeId="0" xr:uid="{E6529CB2-2E3C-464F-A0C4-32D5D1D56226}">
      <text>
        <r>
          <rPr>
            <b/>
            <sz val="9"/>
            <color indexed="81"/>
            <rFont val="Segoe UI"/>
            <charset val="1"/>
          </rPr>
          <t>Samuel Kruppa:</t>
        </r>
        <r>
          <rPr>
            <sz val="9"/>
            <color indexed="81"/>
            <rFont val="Segoe UI"/>
            <charset val="1"/>
          </rPr>
          <t xml:space="preserve">
CEO hat 2023 keine LTI-Auszahlung bekommen, da dies erst ab seiner Vertragsverlängerung am 1.1.22 integriert ist. Deswegen erdiente Vergütung des CEO, S.22</t>
        </r>
      </text>
    </comment>
    <comment ref="F31" authorId="1" shapeId="0" xr:uid="{EE3A402B-CC1D-45AF-A579-353C41B9F8A6}">
      <text>
        <r>
          <rPr>
            <sz val="11"/>
            <color theme="1"/>
            <rFont val="Aptos Narrow"/>
            <family val="2"/>
            <scheme val="minor"/>
          </rPr>
          <t>Samuel Kruppa:
Keine STI ESG Ziele</t>
        </r>
      </text>
    </comment>
    <comment ref="I31" authorId="1" shapeId="0" xr:uid="{367AA202-B2F3-48DD-A66E-56723B26CE9F}">
      <text>
        <r>
          <rPr>
            <b/>
            <sz val="9"/>
            <color indexed="81"/>
            <rFont val="Segoe UI"/>
            <charset val="1"/>
          </rPr>
          <t>Samuel Kruppa:</t>
        </r>
        <r>
          <rPr>
            <sz val="9"/>
            <color indexed="81"/>
            <rFont val="Segoe UI"/>
            <charset val="1"/>
          </rPr>
          <t xml:space="preserve">
CEO für 2022, über Cap, S.15</t>
        </r>
      </text>
    </comment>
    <comment ref="AD31" authorId="1" shapeId="0" xr:uid="{6DC74178-F045-4B4D-BB22-4C0AACCC7A7C}">
      <text>
        <r>
          <rPr>
            <b/>
            <sz val="9"/>
            <color indexed="81"/>
            <rFont val="Segoe UI"/>
            <charset val="1"/>
          </rPr>
          <t>Samuel Kruppa:</t>
        </r>
        <r>
          <rPr>
            <sz val="9"/>
            <color indexed="81"/>
            <rFont val="Segoe UI"/>
            <charset val="1"/>
          </rPr>
          <t xml:space="preserve">
CEO hat 2023 keine LTI-Auszahlung bekommen, da dies erst ab seiner Vertragsverlängerung am 1.1.22 integriert ist. Deswegen erdiente Vergütung des CEO, S.22 und trotzdem normalerweise eine LTI geplant ist</t>
        </r>
      </text>
    </comment>
    <comment ref="AI31" authorId="1" shapeId="0" xr:uid="{FA8C1FDD-4A97-442D-BD82-A9957A9C0EDF}">
      <text>
        <r>
          <rPr>
            <b/>
            <sz val="9"/>
            <color indexed="81"/>
            <rFont val="Segoe UI"/>
            <charset val="1"/>
          </rPr>
          <t>Samuel Kruppa:</t>
        </r>
        <r>
          <rPr>
            <sz val="9"/>
            <color indexed="81"/>
            <rFont val="Segoe UI"/>
            <charset val="1"/>
          </rPr>
          <t xml:space="preserve">
CEO für 2022, über Cap, S.15</t>
        </r>
      </text>
    </comment>
    <comment ref="D32" authorId="1" shapeId="0" xr:uid="{98F2440F-3E65-434D-A56E-BCB89952BFC8}">
      <text>
        <r>
          <rPr>
            <b/>
            <sz val="9"/>
            <color indexed="81"/>
            <rFont val="Segoe UI"/>
          </rPr>
          <t>Samuel Kruppa:</t>
        </r>
        <r>
          <rPr>
            <sz val="9"/>
            <color indexed="81"/>
            <rFont val="Segoe UI"/>
          </rPr>
          <t xml:space="preserve">
CEO, wirkliche Asuzahlung für 2023, berechnet nach S.8</t>
        </r>
      </text>
    </comment>
    <comment ref="G32" authorId="1" shapeId="0" xr:uid="{AC251FA0-13FF-4D9F-A508-6C13C950584C}">
      <text>
        <r>
          <rPr>
            <b/>
            <sz val="9"/>
            <color indexed="81"/>
            <rFont val="Segoe UI"/>
          </rPr>
          <t>Samuel Kruppa:</t>
        </r>
        <r>
          <rPr>
            <sz val="9"/>
            <color indexed="81"/>
            <rFont val="Segoe UI"/>
          </rPr>
          <t xml:space="preserve">
20% der mit 25% Gewichteten Team Goals</t>
        </r>
      </text>
    </comment>
    <comment ref="M32" authorId="1" shapeId="0" xr:uid="{21F236C0-B8EF-41D3-8E40-58604DA7ECB0}">
      <text>
        <r>
          <rPr>
            <b/>
            <sz val="9"/>
            <color indexed="81"/>
            <rFont val="Segoe UI"/>
          </rPr>
          <t>Samuel Kruppa:</t>
        </r>
        <r>
          <rPr>
            <sz val="9"/>
            <color indexed="81"/>
            <rFont val="Segoe UI"/>
          </rPr>
          <t xml:space="preserve">
7% reduction in plastic material to 2022 baseline</t>
        </r>
      </text>
    </comment>
    <comment ref="N32" authorId="1" shapeId="0" xr:uid="{4FCDEABB-AA2C-4510-9C3A-0DA216C23224}">
      <text>
        <r>
          <rPr>
            <b/>
            <sz val="9"/>
            <color indexed="81"/>
            <rFont val="Segoe UI"/>
          </rPr>
          <t>Samuel Kruppa:</t>
        </r>
        <r>
          <rPr>
            <sz val="9"/>
            <color indexed="81"/>
            <rFont val="Segoe UI"/>
          </rPr>
          <t xml:space="preserve">
gemittelt nach S. 10</t>
        </r>
      </text>
    </comment>
    <comment ref="S32" authorId="1" shapeId="0" xr:uid="{5C965A3C-C88E-4535-B990-3D7489573212}">
      <text>
        <r>
          <rPr>
            <b/>
            <sz val="9"/>
            <color indexed="81"/>
            <rFont val="Segoe UI"/>
          </rPr>
          <t>Samuel Kruppa:</t>
        </r>
        <r>
          <rPr>
            <sz val="9"/>
            <color indexed="81"/>
            <rFont val="Segoe UI"/>
          </rPr>
          <t xml:space="preserve">
je gemittelt nach S. 10, 1,67=20*0,25/3</t>
        </r>
      </text>
    </comment>
    <comment ref="X32" authorId="1" shapeId="0" xr:uid="{7793A170-A3E4-4644-AE2F-008CCD10D5D3}">
      <text>
        <r>
          <rPr>
            <b/>
            <sz val="9"/>
            <color indexed="81"/>
            <rFont val="Segoe UI"/>
          </rPr>
          <t>Samuel Kruppa:</t>
        </r>
        <r>
          <rPr>
            <sz val="9"/>
            <color indexed="81"/>
            <rFont val="Segoe UI"/>
          </rPr>
          <t xml:space="preserve">
gemittelt nach S. 10</t>
        </r>
      </text>
    </comment>
    <comment ref="AD32" authorId="1" shapeId="0" xr:uid="{BE0972D7-DFD1-451E-8D0F-D17A8E8EF1D8}">
      <text>
        <r>
          <rPr>
            <b/>
            <sz val="9"/>
            <color indexed="81"/>
            <rFont val="Segoe UI"/>
          </rPr>
          <t>Samuel Kruppa:</t>
        </r>
        <r>
          <rPr>
            <sz val="9"/>
            <color indexed="81"/>
            <rFont val="Segoe UI"/>
          </rPr>
          <t xml:space="preserve">
CEO, wirkliche Asuzahlung für 2023, berechnet nach S.8</t>
        </r>
      </text>
    </comment>
    <comment ref="D33" authorId="1" shapeId="0" xr:uid="{F18C0DDC-94E7-4417-97C1-48ADF2264418}">
      <text>
        <r>
          <rPr>
            <b/>
            <sz val="9"/>
            <color indexed="81"/>
            <rFont val="Segoe UI"/>
            <charset val="1"/>
          </rPr>
          <t>Samuel Kruppa:</t>
        </r>
        <r>
          <rPr>
            <sz val="9"/>
            <color indexed="81"/>
            <rFont val="Segoe UI"/>
            <charset val="1"/>
          </rPr>
          <t xml:space="preserve">
CEO
</t>
        </r>
      </text>
    </comment>
    <comment ref="K33" authorId="1" shapeId="0" xr:uid="{69DB3DCC-4D13-4547-8D6C-8A1C8CFCDF1C}">
      <text>
        <r>
          <rPr>
            <b/>
            <sz val="9"/>
            <color indexed="81"/>
            <rFont val="Segoe UI"/>
            <charset val="1"/>
          </rPr>
          <t>Samuel Kruppa:</t>
        </r>
        <r>
          <rPr>
            <sz val="9"/>
            <color indexed="81"/>
            <rFont val="Segoe UI"/>
            <charset val="1"/>
          </rPr>
          <t xml:space="preserve">
Photovoltaik-Anlage in Australien
und Wärmerückgewinnungsanlage in
Österreich zur CO2-Reduktion, ZE 200%</t>
        </r>
      </text>
    </comment>
    <comment ref="U33" authorId="1" shapeId="0" xr:uid="{EBC151DC-A252-47BF-835C-AF974D963A35}">
      <text>
        <r>
          <rPr>
            <b/>
            <sz val="9"/>
            <color indexed="81"/>
            <rFont val="Segoe UI"/>
            <charset val="1"/>
          </rPr>
          <t>Samuel Kruppa:</t>
        </r>
        <r>
          <rPr>
            <sz val="9"/>
            <color indexed="81"/>
            <rFont val="Segoe UI"/>
            <charset val="1"/>
          </rPr>
          <t xml:space="preserve">
Maßnahmen aufgrund des
Lieferkettensorgfaltspflichtengesetze
s (LkSG) und Aufbau einer
Rheinmetall spezifischen
Compliancestruktur für die
Aktivitäten bei Expal, ZE 250%</t>
        </r>
      </text>
    </comment>
    <comment ref="AD33" authorId="1" shapeId="0" xr:uid="{C998B7C5-8D48-48AE-A851-0266F7F7720E}">
      <text>
        <r>
          <rPr>
            <b/>
            <sz val="9"/>
            <color indexed="81"/>
            <rFont val="Segoe UI"/>
            <charset val="1"/>
          </rPr>
          <t>Samuel Kruppa:</t>
        </r>
        <r>
          <rPr>
            <sz val="9"/>
            <color indexed="81"/>
            <rFont val="Segoe UI"/>
            <charset val="1"/>
          </rPr>
          <t xml:space="preserve">
CEO</t>
        </r>
      </text>
    </comment>
    <comment ref="AK33" authorId="1" shapeId="0" xr:uid="{E028E390-DD36-46E2-BDD2-1A4FFE79D489}">
      <text>
        <r>
          <rPr>
            <b/>
            <sz val="9"/>
            <color indexed="81"/>
            <rFont val="Segoe UI"/>
            <charset val="1"/>
          </rPr>
          <t>Samuel Kruppa:</t>
        </r>
        <r>
          <rPr>
            <sz val="9"/>
            <color indexed="81"/>
            <rFont val="Segoe UI"/>
            <charset val="1"/>
          </rPr>
          <t xml:space="preserve">
Reduktion der CO2-Emissionen in Scope 1 und 2</t>
        </r>
      </text>
    </comment>
    <comment ref="AL33" authorId="1" shapeId="0" xr:uid="{28D159E7-0338-4FDA-85E1-F63FDAA51DB5}">
      <text>
        <r>
          <rPr>
            <b/>
            <sz val="9"/>
            <color indexed="81"/>
            <rFont val="Segoe UI"/>
            <charset val="1"/>
          </rPr>
          <t>Samuel Kruppa:</t>
        </r>
        <r>
          <rPr>
            <sz val="9"/>
            <color indexed="81"/>
            <rFont val="Segoe UI"/>
            <charset val="1"/>
          </rPr>
          <t xml:space="preserve">
gemittelt, S.185</t>
        </r>
      </text>
    </comment>
    <comment ref="AS33" authorId="1" shapeId="0" xr:uid="{20AF4DB9-60BF-4DB6-8353-95A41744DE92}">
      <text>
        <r>
          <rPr>
            <b/>
            <sz val="9"/>
            <color indexed="81"/>
            <rFont val="Segoe UI"/>
            <charset val="1"/>
          </rPr>
          <t>Samuel Kruppa:</t>
        </r>
        <r>
          <rPr>
            <sz val="9"/>
            <color indexed="81"/>
            <rFont val="Segoe UI"/>
            <charset val="1"/>
          </rPr>
          <t xml:space="preserve">
gemittelt, S.185</t>
        </r>
      </text>
    </comment>
    <comment ref="F34" authorId="1" shapeId="0" xr:uid="{9FC4CFBA-18B3-4ED1-A894-455ABCA4FE55}">
      <text>
        <r>
          <rPr>
            <b/>
            <sz val="9"/>
            <color indexed="81"/>
            <rFont val="Segoe UI"/>
            <family val="2"/>
          </rPr>
          <t>Samuel Kruppa:</t>
        </r>
        <r>
          <rPr>
            <sz val="9"/>
            <color indexed="81"/>
            <rFont val="Segoe UI"/>
            <family val="2"/>
          </rPr>
          <t xml:space="preserve">
individueller Leistungsmultiplikator (0,8 - 1,2)</t>
        </r>
      </text>
    </comment>
    <comment ref="G34" authorId="1" shapeId="0" xr:uid="{BEEDD8F2-F0EF-4B30-B65E-72F477A0F287}">
      <text>
        <r>
          <rPr>
            <b/>
            <sz val="9"/>
            <color indexed="81"/>
            <rFont val="Segoe UI"/>
            <charset val="1"/>
          </rPr>
          <t>Samuel Kruppa:</t>
        </r>
        <r>
          <rPr>
            <sz val="9"/>
            <color indexed="81"/>
            <rFont val="Segoe UI"/>
            <charset val="1"/>
          </rPr>
          <t xml:space="preserve">
S. 19, Für das Geschäftsjahr 2023 hat der Aufsichtsrat eine Gleichgewichtung der individuellen
Ziele, der allgemeinen kollektiven Ziele des Gesamtvorstands und der kollektiven Ziele auf
dem Gebiet der CSR/ESG und Mitarbeitermotivation (jeweils 33,33 %) beschlossen.</t>
        </r>
      </text>
    </comment>
    <comment ref="I34" authorId="1" shapeId="0" xr:uid="{6BE2F76B-B99D-443C-BAD8-9074932A6C50}">
      <text>
        <r>
          <rPr>
            <b/>
            <sz val="9"/>
            <color indexed="81"/>
            <rFont val="Segoe UI"/>
            <charset val="1"/>
          </rPr>
          <t xml:space="preserve">Samuel Kruppa:
CEO, </t>
        </r>
        <r>
          <rPr>
            <sz val="9"/>
            <color indexed="81"/>
            <rFont val="Segoe UI"/>
            <family val="2"/>
          </rPr>
          <t>S.21</t>
        </r>
      </text>
    </comment>
    <comment ref="P34" authorId="1" shapeId="0" xr:uid="{AA307A3A-8E1B-4A0F-9925-EF017CE97B35}">
      <text>
        <r>
          <rPr>
            <b/>
            <sz val="9"/>
            <color indexed="81"/>
            <rFont val="Segoe UI"/>
            <family val="2"/>
          </rPr>
          <t>Samuel Kruppa:</t>
        </r>
        <r>
          <rPr>
            <sz val="9"/>
            <color indexed="81"/>
            <rFont val="Segoe UI"/>
            <family val="2"/>
          </rPr>
          <t xml:space="preserve">
Erhalt der hohen Mitarbeitermotivation</t>
        </r>
      </text>
    </comment>
    <comment ref="V34" authorId="1" shapeId="0" xr:uid="{9A81610B-481D-4799-8659-81A849AA807A}">
      <text>
        <r>
          <rPr>
            <b/>
            <sz val="9"/>
            <color indexed="81"/>
            <rFont val="Segoe UI"/>
            <family val="2"/>
          </rPr>
          <t>Samuel Kruppa:</t>
        </r>
        <r>
          <rPr>
            <sz val="9"/>
            <color indexed="81"/>
            <rFont val="Segoe UI"/>
            <family val="2"/>
          </rPr>
          <t xml:space="preserve">
Konzernweite Einhaltung der Compliance-Standards und des Verhaltenskodexes</t>
        </r>
      </text>
    </comment>
    <comment ref="AI34" authorId="1" shapeId="0" xr:uid="{A9E5D06E-9189-4D77-B5CC-858C803016D7}">
      <text>
        <r>
          <rPr>
            <b/>
            <sz val="9"/>
            <color indexed="81"/>
            <rFont val="Segoe UI"/>
            <family val="2"/>
          </rPr>
          <t>Samuel Kruppa:</t>
        </r>
        <r>
          <rPr>
            <sz val="9"/>
            <color indexed="81"/>
            <rFont val="Segoe UI"/>
            <family val="2"/>
          </rPr>
          <t xml:space="preserve">
Tranche 2021</t>
        </r>
      </text>
    </comment>
    <comment ref="AK34" authorId="1" shapeId="0" xr:uid="{5B6734D3-2750-48FF-BF46-A6594E0E6534}">
      <text>
        <r>
          <rPr>
            <b/>
            <sz val="9"/>
            <color indexed="81"/>
            <rFont val="Segoe UI"/>
            <family val="2"/>
          </rPr>
          <t>Samuel Kruppa:</t>
        </r>
        <r>
          <rPr>
            <sz val="9"/>
            <color indexed="81"/>
            <rFont val="Segoe UI"/>
            <family val="2"/>
          </rPr>
          <t xml:space="preserve">
CO2-Intensität des Kraftwerksportfolios des Konzerns</t>
        </r>
      </text>
    </comment>
    <comment ref="D35" authorId="1" shapeId="0" xr:uid="{AF924BC2-6548-4FC5-A3F2-F4DA986A9A35}">
      <text>
        <r>
          <rPr>
            <b/>
            <sz val="9"/>
            <color indexed="81"/>
            <rFont val="Segoe UI"/>
            <family val="2"/>
          </rPr>
          <t>Samuel Kruppa:</t>
        </r>
        <r>
          <rPr>
            <sz val="9"/>
            <color indexed="81"/>
            <rFont val="Segoe UI"/>
            <family val="2"/>
          </rPr>
          <t xml:space="preserve">
gemittelt, S.11</t>
        </r>
      </text>
    </comment>
    <comment ref="K35" authorId="1" shapeId="0" xr:uid="{FE4F4EF2-8BEE-472E-855D-90B45C7F4972}">
      <text>
        <r>
          <rPr>
            <b/>
            <sz val="9"/>
            <color indexed="81"/>
            <rFont val="Segoe UI"/>
            <family val="2"/>
          </rPr>
          <t>Samuel Kruppa:</t>
        </r>
        <r>
          <rPr>
            <sz val="9"/>
            <color indexed="81"/>
            <rFont val="Segoe UI"/>
            <family val="2"/>
          </rPr>
          <t xml:space="preserve">
CO2-Leistung(Treibhausgas-emissionen in ktCO2), ZE 100%</t>
        </r>
      </text>
    </comment>
    <comment ref="P35" authorId="1" shapeId="0" xr:uid="{3D095585-8583-435F-B89B-BABE4B3A10EB}">
      <text>
        <r>
          <rPr>
            <b/>
            <sz val="9"/>
            <color indexed="81"/>
            <rFont val="Segoe UI"/>
            <family val="2"/>
          </rPr>
          <t>Samuel Kruppa:</t>
        </r>
        <r>
          <rPr>
            <sz val="9"/>
            <color indexed="81"/>
            <rFont val="Segoe UI"/>
            <family val="2"/>
          </rPr>
          <t xml:space="preserve">
Mitarbeiter-engagement-Index(EEI), ZE 111,4%</t>
        </r>
      </text>
    </comment>
    <comment ref="R35" authorId="1" shapeId="0" xr:uid="{554E58A2-D2F2-47CC-B329-38F2A0A5A3C2}">
      <text>
        <r>
          <rPr>
            <b/>
            <sz val="9"/>
            <color indexed="81"/>
            <rFont val="Segoe UI"/>
          </rPr>
          <t>Samuel Kruppa:</t>
        </r>
        <r>
          <rPr>
            <sz val="9"/>
            <color indexed="81"/>
            <rFont val="Segoe UI"/>
          </rPr>
          <t xml:space="preserve">
ZE 100%</t>
        </r>
      </text>
    </comment>
    <comment ref="AD35" authorId="1" shapeId="0" xr:uid="{621CE8C0-56EF-4CBA-B914-62B6BD2408CE}">
      <text>
        <r>
          <rPr>
            <b/>
            <sz val="9"/>
            <color indexed="81"/>
            <rFont val="Segoe UI"/>
            <family val="2"/>
          </rPr>
          <t>Samuel Kruppa:</t>
        </r>
        <r>
          <rPr>
            <sz val="9"/>
            <color indexed="81"/>
            <rFont val="Segoe UI"/>
            <family val="2"/>
          </rPr>
          <t xml:space="preserve">
gemittelt, S.11</t>
        </r>
      </text>
    </comment>
    <comment ref="AI35" authorId="1" shapeId="0" xr:uid="{0EE5A9F2-103D-4CEC-985C-30521BAFCDAF}">
      <text>
        <r>
          <rPr>
            <b/>
            <sz val="9"/>
            <color indexed="81"/>
            <rFont val="Segoe UI"/>
            <family val="2"/>
          </rPr>
          <t>Samuel Kruppa:</t>
        </r>
        <r>
          <rPr>
            <sz val="9"/>
            <color indexed="81"/>
            <rFont val="Segoe UI"/>
            <family val="2"/>
          </rPr>
          <t xml:space="preserve">
Tranche 2020, S.13, selbst berechnet</t>
        </r>
      </text>
    </comment>
    <comment ref="D36" authorId="1" shapeId="0" xr:uid="{2B513647-A0BA-4E17-B949-CA7FD5C1B890}">
      <text>
        <r>
          <rPr>
            <b/>
            <sz val="9"/>
            <color indexed="81"/>
            <rFont val="Segoe UI"/>
          </rPr>
          <t>Samuel Kruppa:</t>
        </r>
        <r>
          <rPr>
            <sz val="9"/>
            <color indexed="81"/>
            <rFont val="Segoe UI"/>
          </rPr>
          <t xml:space="preserve">
Zielvergütung CEO, berechnet nach S.166</t>
        </r>
      </text>
    </comment>
    <comment ref="I36" authorId="1" shapeId="0" xr:uid="{D243CD67-3E10-4DEA-BEA7-C95BD7E2B530}">
      <text>
        <r>
          <rPr>
            <b/>
            <sz val="9"/>
            <color indexed="81"/>
            <rFont val="Segoe UI"/>
          </rPr>
          <t>Samuel Kruppa:</t>
        </r>
        <r>
          <rPr>
            <sz val="9"/>
            <color indexed="81"/>
            <rFont val="Segoe UI"/>
          </rPr>
          <t xml:space="preserve">
CEO, 0€ in 2023, S.168</t>
        </r>
      </text>
    </comment>
    <comment ref="P36" authorId="1" shapeId="0" xr:uid="{7A498DE8-4AF1-40B1-B4DF-66554ECD2810}">
      <text>
        <r>
          <rPr>
            <b/>
            <sz val="9"/>
            <color indexed="81"/>
            <rFont val="Segoe UI"/>
          </rPr>
          <t>Samuel Kruppa:</t>
        </r>
        <r>
          <rPr>
            <sz val="9"/>
            <color indexed="81"/>
            <rFont val="Segoe UI"/>
          </rPr>
          <t xml:space="preserve">
Employee Net Promoter Score, Im Geschäftsjahr 2023 lag die Zielerreichung für das Teilziel „Employee Net Promoter Score (ENPS)“ bei 8,81 %
des Zielwerts für den Konzern, -21,69 % für die Sparte Bioprocess Solutions und 71,47 % für die Sparte Lab Products
&amp; Services.</t>
        </r>
      </text>
    </comment>
    <comment ref="AD36" authorId="1" shapeId="0" xr:uid="{00534832-ABE4-4601-9AF8-5611A4868462}">
      <text>
        <r>
          <rPr>
            <b/>
            <sz val="9"/>
            <color indexed="81"/>
            <rFont val="Segoe UI"/>
          </rPr>
          <t>Samuel Kruppa:</t>
        </r>
        <r>
          <rPr>
            <sz val="9"/>
            <color indexed="81"/>
            <rFont val="Segoe UI"/>
          </rPr>
          <t xml:space="preserve">
Zielvergütung CEO, berechnet nach S.166</t>
        </r>
      </text>
    </comment>
    <comment ref="AI36" authorId="1" shapeId="0" xr:uid="{7403772D-7261-4E8D-A870-699FC40CE7F7}">
      <text>
        <r>
          <rPr>
            <b/>
            <sz val="9"/>
            <color indexed="81"/>
            <rFont val="Segoe UI"/>
          </rPr>
          <t>Samuel Kruppa:</t>
        </r>
        <r>
          <rPr>
            <sz val="9"/>
            <color indexed="81"/>
            <rFont val="Segoe UI"/>
          </rPr>
          <t xml:space="preserve">
CEO, berechnet nach S.166 und S.168</t>
        </r>
      </text>
    </comment>
    <comment ref="AK36" authorId="1" shapeId="0" xr:uid="{CD5CE2D2-1DC0-48F2-90DC-8716291B9760}">
      <text>
        <r>
          <rPr>
            <b/>
            <sz val="9"/>
            <color indexed="81"/>
            <rFont val="Segoe UI"/>
          </rPr>
          <t>Samuel Kruppa:</t>
        </r>
        <r>
          <rPr>
            <sz val="9"/>
            <color indexed="81"/>
            <rFont val="Segoe UI"/>
          </rPr>
          <t xml:space="preserve">
Reduktion der CO2-äquivalenten Emissionsintensität</t>
        </r>
      </text>
    </comment>
    <comment ref="AY36" authorId="1" shapeId="0" xr:uid="{2809C2C0-B875-4D76-9034-21977C46999D}">
      <text>
        <r>
          <rPr>
            <b/>
            <sz val="9"/>
            <color indexed="81"/>
            <rFont val="Segoe UI"/>
          </rPr>
          <t>Samuel Kruppa:</t>
        </r>
        <r>
          <rPr>
            <sz val="9"/>
            <color indexed="81"/>
            <rFont val="Segoe UI"/>
          </rPr>
          <t xml:space="preserve">
berechnet nach S.152</t>
        </r>
      </text>
    </comment>
    <comment ref="D37" authorId="1" shapeId="0" xr:uid="{09F17FC1-0E56-4CAB-B454-1302542FECF5}">
      <text>
        <r>
          <rPr>
            <b/>
            <sz val="9"/>
            <color indexed="81"/>
            <rFont val="Segoe UI"/>
          </rPr>
          <t>Samuel Kruppa:</t>
        </r>
        <r>
          <rPr>
            <sz val="9"/>
            <color indexed="81"/>
            <rFont val="Segoe UI"/>
          </rPr>
          <t xml:space="preserve">
gemittelt nach S.10</t>
        </r>
      </text>
    </comment>
    <comment ref="G37" authorId="1" shapeId="0" xr:uid="{83C93D30-72EA-4ABA-A4E8-5C49FABB4E78}">
      <text>
        <r>
          <rPr>
            <sz val="11"/>
            <color theme="1"/>
            <rFont val="Aptos Narrow"/>
            <family val="2"/>
            <scheme val="minor"/>
          </rPr>
          <t>Samuel Kruppa:
1 von 4 individuellen Überpunkten ist ESG, indv. Ziele sind zusammen 33,33% der STI</t>
        </r>
      </text>
    </comment>
    <comment ref="I37" authorId="1" shapeId="0" xr:uid="{D5B4A74D-DBBF-4300-8F34-3DE473011448}">
      <text>
        <r>
          <rPr>
            <b/>
            <sz val="9"/>
            <color indexed="81"/>
            <rFont val="Segoe UI"/>
          </rPr>
          <t>Samuel Kruppa:</t>
        </r>
        <r>
          <rPr>
            <sz val="9"/>
            <color indexed="81"/>
            <rFont val="Segoe UI"/>
          </rPr>
          <t xml:space="preserve">
CEO</t>
        </r>
      </text>
    </comment>
    <comment ref="M37" authorId="1" shapeId="0" xr:uid="{ED0C8BE2-965C-4B5F-B2FB-D8CE80298255}">
      <text>
        <r>
          <rPr>
            <sz val="11"/>
            <color theme="1"/>
            <rFont val="Aptos Narrow"/>
            <family val="2"/>
            <scheme val="minor"/>
          </rPr>
          <t>Samuel Kruppa:
ZE 150% beide zusammen</t>
        </r>
      </text>
    </comment>
    <comment ref="N37" authorId="1" shapeId="0" xr:uid="{162DEFA2-10EB-47F8-A413-84C8A044C189}">
      <text>
        <r>
          <rPr>
            <sz val="11"/>
            <color theme="1"/>
            <rFont val="Aptos Narrow"/>
            <family val="2"/>
            <scheme val="minor"/>
          </rPr>
          <t>Samuel Kruppa:
1 von 4 individuellen Überzielen, sind ESG. Indv. Ziele sind zusammen 33,33% der STI. Der ESG-Überpunkt hat 2 Unterpunkte, S.18</t>
        </r>
      </text>
    </comment>
    <comment ref="AD37" authorId="1" shapeId="0" xr:uid="{CBFF6261-969E-4664-B92A-F3E8EC789FCA}">
      <text>
        <r>
          <rPr>
            <b/>
            <sz val="9"/>
            <color indexed="81"/>
            <rFont val="Segoe UI"/>
          </rPr>
          <t>Samuel Kruppa:</t>
        </r>
        <r>
          <rPr>
            <sz val="9"/>
            <color indexed="81"/>
            <rFont val="Segoe UI"/>
          </rPr>
          <t xml:space="preserve">
gemittelt nach S.10</t>
        </r>
      </text>
    </comment>
    <comment ref="AI37" authorId="1" shapeId="0" xr:uid="{8F9D1F38-1B40-4415-A7AB-C7F0C6A18EA9}">
      <text>
        <r>
          <rPr>
            <b/>
            <sz val="9"/>
            <color indexed="81"/>
            <rFont val="Segoe UI"/>
          </rPr>
          <t>Samuel Kruppa:</t>
        </r>
        <r>
          <rPr>
            <sz val="9"/>
            <color indexed="81"/>
            <rFont val="Segoe UI"/>
          </rPr>
          <t xml:space="preserve">
Tranche 2019</t>
        </r>
      </text>
    </comment>
    <comment ref="AK37" authorId="1" shapeId="0" xr:uid="{1B92AF7B-14CC-4045-AA96-540DAB219319}">
      <text>
        <r>
          <rPr>
            <b/>
            <sz val="9"/>
            <color indexed="81"/>
            <rFont val="Segoe UI"/>
          </rPr>
          <t>Samuel Kruppa:</t>
        </r>
        <r>
          <rPr>
            <sz val="9"/>
            <color indexed="81"/>
            <rFont val="Segoe UI"/>
          </rPr>
          <t xml:space="preserve">
Reduktion CO2-Emissionen</t>
        </r>
      </text>
    </comment>
    <comment ref="AL37" authorId="1" shapeId="0" xr:uid="{C3F773C9-3E9E-4150-9852-B2364E17A19B}">
      <text>
        <r>
          <rPr>
            <b/>
            <sz val="9"/>
            <color indexed="81"/>
            <rFont val="Segoe UI"/>
          </rPr>
          <t>Samuel Kruppa:</t>
        </r>
        <r>
          <rPr>
            <sz val="9"/>
            <color indexed="81"/>
            <rFont val="Segoe UI"/>
          </rPr>
          <t xml:space="preserve">
gemittelt, S.22
</t>
        </r>
      </text>
    </comment>
    <comment ref="AS37" authorId="1" shapeId="0" xr:uid="{CE5B91B2-C687-4D1C-885C-E850A9B29C35}">
      <text>
        <r>
          <rPr>
            <b/>
            <sz val="9"/>
            <color indexed="81"/>
            <rFont val="Segoe UI"/>
          </rPr>
          <t>Samuel Kruppa:</t>
        </r>
        <r>
          <rPr>
            <sz val="9"/>
            <color indexed="81"/>
            <rFont val="Segoe UI"/>
          </rPr>
          <t xml:space="preserve">
gemittelt nach S.22</t>
        </r>
      </text>
    </comment>
    <comment ref="D38" authorId="1" shapeId="0" xr:uid="{5883355D-C0EB-4135-B9F8-ACD9D25F547C}">
      <text>
        <r>
          <rPr>
            <b/>
            <sz val="9"/>
            <color indexed="81"/>
            <rFont val="Segoe UI"/>
          </rPr>
          <t>Samuel Kruppa:</t>
        </r>
        <r>
          <rPr>
            <sz val="9"/>
            <color indexed="81"/>
            <rFont val="Segoe UI"/>
          </rPr>
          <t xml:space="preserve">
CEO (S.197)
0% LTI, da erstmalige Auszahlung Nov 24</t>
        </r>
      </text>
    </comment>
    <comment ref="G38" authorId="1" shapeId="0" xr:uid="{0C986078-BDC4-43C3-A507-61ACB9919CB5}">
      <text>
        <r>
          <rPr>
            <b/>
            <sz val="9"/>
            <color indexed="81"/>
            <rFont val="Segoe UI"/>
          </rPr>
          <t>Samuel Kruppa:</t>
        </r>
        <r>
          <rPr>
            <sz val="9"/>
            <color indexed="81"/>
            <rFont val="Segoe UI"/>
          </rPr>
          <t xml:space="preserve">
3/4 indviduellen Ziele sind ESG, insgesamt haben sie 33,33%, S.193, CEO</t>
        </r>
      </text>
    </comment>
    <comment ref="I38" authorId="1" shapeId="0" xr:uid="{6CBD60A5-3FFD-4EDA-91C5-1BAF2F980958}">
      <text>
        <r>
          <rPr>
            <b/>
            <sz val="9"/>
            <color indexed="81"/>
            <rFont val="Segoe UI"/>
          </rPr>
          <t>Samuel Kruppa:</t>
        </r>
        <r>
          <rPr>
            <sz val="9"/>
            <color indexed="81"/>
            <rFont val="Segoe UI"/>
          </rPr>
          <t xml:space="preserve">
CEO, S.191</t>
        </r>
      </text>
    </comment>
    <comment ref="R38" authorId="1" shapeId="0" xr:uid="{FF684B94-550F-458E-80C9-B85774BB5644}">
      <text>
        <r>
          <rPr>
            <b/>
            <sz val="9"/>
            <color indexed="81"/>
            <rFont val="Segoe UI"/>
          </rPr>
          <t>Samuel Kruppa:</t>
        </r>
        <r>
          <rPr>
            <sz val="9"/>
            <color indexed="81"/>
            <rFont val="Segoe UI"/>
          </rPr>
          <t xml:space="preserve">
ZA 130%; ZA 80%, ZA 140%</t>
        </r>
      </text>
    </comment>
    <comment ref="S38" authorId="1" shapeId="0" xr:uid="{EA0EF496-BFE8-441F-9DF9-E8ED6AE7E73A}">
      <text>
        <r>
          <rPr>
            <b/>
            <sz val="9"/>
            <color indexed="81"/>
            <rFont val="Segoe UI"/>
          </rPr>
          <t>Samuel Kruppa:</t>
        </r>
        <r>
          <rPr>
            <sz val="9"/>
            <color indexed="81"/>
            <rFont val="Segoe UI"/>
          </rPr>
          <t xml:space="preserve">
3/4 indviduellen Ziele sind ESG, insgesamt haben sie 33,33%, S.193, CEO</t>
        </r>
      </text>
    </comment>
    <comment ref="AD38" authorId="1" shapeId="0" xr:uid="{A02EDAD0-02F6-427E-8852-B98778791EE9}">
      <text>
        <r>
          <rPr>
            <b/>
            <sz val="9"/>
            <color indexed="81"/>
            <rFont val="Segoe UI"/>
          </rPr>
          <t>Samuel Kruppa:</t>
        </r>
        <r>
          <rPr>
            <sz val="9"/>
            <color indexed="81"/>
            <rFont val="Segoe UI"/>
          </rPr>
          <t xml:space="preserve">
CEO (S.197)
0% LTI, da erstmalige Auszahlung Nov 24</t>
        </r>
      </text>
    </comment>
    <comment ref="AI38" authorId="1" shapeId="0" xr:uid="{E363FB72-E9CB-4C48-A8D5-016017433123}">
      <text>
        <r>
          <rPr>
            <b/>
            <sz val="9"/>
            <color indexed="81"/>
            <rFont val="Segoe UI"/>
          </rPr>
          <t>Samuel Kruppa:</t>
        </r>
        <r>
          <rPr>
            <sz val="9"/>
            <color indexed="81"/>
            <rFont val="Segoe UI"/>
          </rPr>
          <t xml:space="preserve">
CEO, Schätzung</t>
        </r>
      </text>
    </comment>
    <comment ref="AK38" authorId="1" shapeId="0" xr:uid="{9B7A7F10-C8C4-4ED8-AAC5-DE7CD8FC76BA}">
      <text>
        <r>
          <rPr>
            <b/>
            <sz val="9"/>
            <color indexed="81"/>
            <rFont val="Segoe UI"/>
            <charset val="1"/>
          </rPr>
          <t>Samuel Kruppa:</t>
        </r>
        <r>
          <rPr>
            <sz val="9"/>
            <color indexed="81"/>
            <rFont val="Segoe UI"/>
            <charset val="1"/>
          </rPr>
          <t xml:space="preserve">
Reduktion der CO2-Emissionen in Scope 1 und 2</t>
        </r>
      </text>
    </comment>
    <comment ref="AP38" authorId="1" shapeId="0" xr:uid="{1F8F1EAB-EF23-44FC-A234-532AE3BFE438}">
      <text>
        <r>
          <rPr>
            <b/>
            <sz val="9"/>
            <color indexed="81"/>
            <rFont val="Segoe UI"/>
          </rPr>
          <t>Samuel Kruppa:</t>
        </r>
        <r>
          <rPr>
            <sz val="9"/>
            <color indexed="81"/>
            <rFont val="Segoe UI"/>
          </rPr>
          <t xml:space="preserve">
Mitarbeiterengagement</t>
        </r>
      </text>
    </comment>
    <comment ref="D39" authorId="1" shapeId="0" xr:uid="{C808F499-1F70-43A8-B699-31304D459B8C}">
      <text>
        <r>
          <rPr>
            <b/>
            <sz val="9"/>
            <color indexed="81"/>
            <rFont val="Segoe UI"/>
          </rPr>
          <t>Samuel Kruppa:</t>
        </r>
        <r>
          <rPr>
            <sz val="9"/>
            <color indexed="81"/>
            <rFont val="Segoe UI"/>
          </rPr>
          <t xml:space="preserve">
CEO, S. 10, auszahlung</t>
        </r>
      </text>
    </comment>
    <comment ref="G39" authorId="1" shapeId="0" xr:uid="{4674D469-7C62-44BB-AA67-12673D55C826}">
      <text>
        <r>
          <rPr>
            <b/>
            <sz val="9"/>
            <color indexed="81"/>
            <rFont val="Segoe UI"/>
          </rPr>
          <t>Samuel Kruppa:</t>
        </r>
        <r>
          <rPr>
            <sz val="9"/>
            <color indexed="81"/>
            <rFont val="Segoe UI"/>
          </rPr>
          <t xml:space="preserve">
1 von 3 ind. Ziele, die mit insgesamt 33,33% gewichtet sind</t>
        </r>
      </text>
    </comment>
    <comment ref="I39" authorId="1" shapeId="0" xr:uid="{3B1949A5-A3C3-44CE-AD1E-2C96B6B7F08B}">
      <text>
        <r>
          <rPr>
            <b/>
            <sz val="9"/>
            <color indexed="81"/>
            <rFont val="Segoe UI"/>
          </rPr>
          <t>Samuel Kruppa:</t>
        </r>
        <r>
          <rPr>
            <sz val="9"/>
            <color indexed="81"/>
            <rFont val="Segoe UI"/>
          </rPr>
          <t xml:space="preserve">
CEO, S.16</t>
        </r>
      </text>
    </comment>
    <comment ref="AD39" authorId="1" shapeId="0" xr:uid="{A81F19F0-CEDB-4460-B784-F3AAFB1C3CC2}">
      <text>
        <r>
          <rPr>
            <b/>
            <sz val="9"/>
            <color indexed="81"/>
            <rFont val="Segoe UI"/>
          </rPr>
          <t>Samuel Kruppa:</t>
        </r>
        <r>
          <rPr>
            <sz val="9"/>
            <color indexed="81"/>
            <rFont val="Segoe UI"/>
          </rPr>
          <t xml:space="preserve">
CEO, S. 10, ausgezahlt</t>
        </r>
      </text>
    </comment>
    <comment ref="AI39" authorId="1" shapeId="0" xr:uid="{EAEE2430-910B-4CF5-B5BE-9044F8FCC70C}">
      <text>
        <r>
          <rPr>
            <b/>
            <sz val="9"/>
            <color indexed="81"/>
            <rFont val="Segoe UI"/>
          </rPr>
          <t>Samuel Kruppa:</t>
        </r>
        <r>
          <rPr>
            <sz val="9"/>
            <color indexed="81"/>
            <rFont val="Segoe UI"/>
          </rPr>
          <t xml:space="preserve">
Tranche 2019-23</t>
        </r>
      </text>
    </comment>
    <comment ref="AK39" authorId="1" shapeId="0" xr:uid="{BF5E6E61-046C-4060-B538-2D9F0814A62E}">
      <text>
        <r>
          <rPr>
            <b/>
            <sz val="9"/>
            <color indexed="81"/>
            <rFont val="Segoe UI"/>
          </rPr>
          <t>Samuel Kruppa:</t>
        </r>
        <r>
          <rPr>
            <sz val="9"/>
            <color indexed="81"/>
            <rFont val="Segoe UI"/>
          </rPr>
          <t xml:space="preserve">
Reduktion CO2 Emissionen</t>
        </r>
      </text>
    </comment>
    <comment ref="AL39" authorId="1" shapeId="0" xr:uid="{AD728B4A-D51A-435B-BA23-22B8A370AF16}">
      <text>
        <r>
          <rPr>
            <b/>
            <sz val="9"/>
            <color indexed="81"/>
            <rFont val="Segoe UI"/>
          </rPr>
          <t>Samuel Kruppa:</t>
        </r>
        <r>
          <rPr>
            <sz val="9"/>
            <color indexed="81"/>
            <rFont val="Segoe UI"/>
          </rPr>
          <t xml:space="preserve">
gemittelt, S.18</t>
        </r>
      </text>
    </comment>
    <comment ref="AS39" authorId="1" shapeId="0" xr:uid="{EDCE3ED3-9483-42DD-81CA-5C976F8A4307}">
      <text>
        <r>
          <rPr>
            <b/>
            <sz val="9"/>
            <color indexed="81"/>
            <rFont val="Segoe UI"/>
          </rPr>
          <t>Samuel Kruppa:</t>
        </r>
        <r>
          <rPr>
            <sz val="9"/>
            <color indexed="81"/>
            <rFont val="Segoe UI"/>
          </rPr>
          <t xml:space="preserve">
gemittelt, S.18, 25/3</t>
        </r>
      </text>
    </comment>
    <comment ref="K40" authorId="1" shapeId="0" xr:uid="{5DF82D9B-7FFA-44D4-BED9-0CEBCFCD1F14}">
      <text>
        <r>
          <rPr>
            <b/>
            <sz val="9"/>
            <color indexed="81"/>
            <rFont val="Segoe UI"/>
          </rPr>
          <t>Samuel Kruppa:</t>
        </r>
        <r>
          <rPr>
            <sz val="9"/>
            <color indexed="81"/>
            <rFont val="Segoe UI"/>
          </rPr>
          <t xml:space="preserve">
Verringerung der absoluten Treibhausgasemissionen (Scope 3) um 3 %, ZA 94%</t>
        </r>
      </text>
    </comment>
    <comment ref="AI40" authorId="1" shapeId="0" xr:uid="{A741FCC3-F84E-40A9-B16E-5DFF29E229D4}">
      <text>
        <r>
          <rPr>
            <b/>
            <sz val="9"/>
            <color indexed="81"/>
            <rFont val="Segoe UI"/>
          </rPr>
          <t>Samuel Kruppa:</t>
        </r>
        <r>
          <rPr>
            <sz val="9"/>
            <color indexed="81"/>
            <rFont val="Segoe UI"/>
          </rPr>
          <t xml:space="preserve">
Tranche 21-23</t>
        </r>
      </text>
    </comment>
    <comment ref="D41" authorId="1" shapeId="0" xr:uid="{B8FA0F96-5EB0-4376-BF63-073FEB51A6E0}">
      <text>
        <r>
          <rPr>
            <b/>
            <sz val="9"/>
            <color indexed="81"/>
            <rFont val="Segoe UI"/>
            <charset val="1"/>
          </rPr>
          <t>Samuel Kruppa:</t>
        </r>
        <r>
          <rPr>
            <sz val="9"/>
            <color indexed="81"/>
            <rFont val="Segoe UI"/>
            <charset val="1"/>
          </rPr>
          <t xml:space="preserve">
CEO, der allerdings auch CEO von Porsche ist (auch einberechnet), auszahlung</t>
        </r>
      </text>
    </comment>
    <comment ref="I41" authorId="1" shapeId="0" xr:uid="{B28167A5-2CD8-4B03-8607-769CFD6232E9}">
      <text>
        <r>
          <rPr>
            <b/>
            <sz val="9"/>
            <color indexed="81"/>
            <rFont val="Segoe UI"/>
            <charset val="1"/>
          </rPr>
          <t>Samuel Kruppa:</t>
        </r>
        <r>
          <rPr>
            <sz val="9"/>
            <color indexed="81"/>
            <rFont val="Segoe UI"/>
            <charset val="1"/>
          </rPr>
          <t xml:space="preserve">
berechnet nach S.13</t>
        </r>
      </text>
    </comment>
    <comment ref="K41" authorId="1" shapeId="0" xr:uid="{0D17B10B-057C-4023-BBD6-28A6D1BB4F8B}">
      <text>
        <r>
          <rPr>
            <b/>
            <sz val="9"/>
            <color indexed="81"/>
            <rFont val="Segoe UI"/>
            <charset val="1"/>
          </rPr>
          <t>Samuel Kruppa:</t>
        </r>
        <r>
          <rPr>
            <sz val="9"/>
            <color indexed="81"/>
            <rFont val="Segoe UI"/>
            <charset val="1"/>
          </rPr>
          <t xml:space="preserve">
Dekarbonisierungsindex bemisst sich nach den Emissionen von CO2 und CO2-Äquivalenten
der Pkw und leichte Nutzfahrzeuge produzierenden Marken während des gesamten Lebenszyklus und
zeigt den Fortschritt hinsichtlich der Verbesserung unserer CO2-Bilanz. ZE 90%</t>
        </r>
      </text>
    </comment>
    <comment ref="L41" authorId="1" shapeId="0" xr:uid="{77BFF129-4D76-4449-AC9D-53BDE1D77E80}">
      <text>
        <r>
          <rPr>
            <b/>
            <sz val="9"/>
            <color indexed="81"/>
            <rFont val="Segoe UI"/>
            <charset val="1"/>
          </rPr>
          <t>Samuel Kruppa:
Dekarobinisierungsindex ist</t>
        </r>
        <r>
          <rPr>
            <sz val="9"/>
            <color indexed="81"/>
            <rFont val="Segoe UI"/>
            <charset val="1"/>
          </rPr>
          <t xml:space="preserve"> 50% des ES-Faktors (0,7-1,3)</t>
        </r>
      </text>
    </comment>
    <comment ref="P41" authorId="1" shapeId="0" xr:uid="{943AA05E-7966-4ED0-8CAE-A60AAC6932D6}">
      <text>
        <r>
          <rPr>
            <b/>
            <sz val="9"/>
            <color indexed="81"/>
            <rFont val="Segoe UI"/>
            <charset val="1"/>
          </rPr>
          <t>Samuel Kruppa:</t>
        </r>
        <r>
          <rPr>
            <sz val="9"/>
            <color indexed="81"/>
            <rFont val="Segoe UI"/>
            <charset val="1"/>
          </rPr>
          <t xml:space="preserve">
Stimmungsindex durch MA-Umfragen, ZE 130%</t>
        </r>
      </text>
    </comment>
    <comment ref="Q41" authorId="1" shapeId="0" xr:uid="{F756DA6F-0FC1-44E0-A1D1-F2EFF6EBD77D}">
      <text>
        <r>
          <rPr>
            <b/>
            <sz val="9"/>
            <color indexed="81"/>
            <rFont val="Segoe UI"/>
            <charset val="1"/>
          </rPr>
          <t>Samuel Kruppa:</t>
        </r>
        <r>
          <rPr>
            <sz val="9"/>
            <color indexed="81"/>
            <rFont val="Segoe UI"/>
            <charset val="1"/>
          </rPr>
          <t xml:space="preserve">
Stimmungsindex und Diversityindex sind zsm 50% des ES-Faktors (0,7-1,3)</t>
        </r>
      </text>
    </comment>
    <comment ref="R41" authorId="1" shapeId="0" xr:uid="{FD28249E-B86E-4BD8-9133-A8D9F1E86EE4}">
      <text>
        <r>
          <rPr>
            <b/>
            <sz val="9"/>
            <color indexed="81"/>
            <rFont val="Segoe UI"/>
          </rPr>
          <t>Samuel Kruppa:</t>
        </r>
        <r>
          <rPr>
            <sz val="9"/>
            <color indexed="81"/>
            <rFont val="Segoe UI"/>
          </rPr>
          <t xml:space="preserve">
ZE 130%</t>
        </r>
      </text>
    </comment>
    <comment ref="S41" authorId="1" shapeId="0" xr:uid="{E0AA5A6F-BB62-4D27-9C2E-F3D0FDC652CF}">
      <text>
        <r>
          <rPr>
            <b/>
            <sz val="9"/>
            <color indexed="81"/>
            <rFont val="Segoe UI"/>
            <charset val="1"/>
          </rPr>
          <t>Samuel Kruppa:</t>
        </r>
        <r>
          <rPr>
            <sz val="9"/>
            <color indexed="81"/>
            <rFont val="Segoe UI"/>
            <charset val="1"/>
          </rPr>
          <t xml:space="preserve">
Stimmungsindex und Diversityindex sind zsm 50% des ES-Faktors (0,7-1,3)</t>
        </r>
      </text>
    </comment>
    <comment ref="U41" authorId="1" shapeId="0" xr:uid="{5784737A-DA71-47AB-9E60-EDEEE05F2349}">
      <text>
        <r>
          <rPr>
            <b/>
            <sz val="9"/>
            <color indexed="81"/>
            <rFont val="Segoe UI"/>
            <charset val="1"/>
          </rPr>
          <t>Samuel Kruppa:</t>
        </r>
        <r>
          <rPr>
            <sz val="9"/>
            <color indexed="81"/>
            <rFont val="Segoe UI"/>
            <charset val="1"/>
          </rPr>
          <t xml:space="preserve">
Compliance/ Integrität</t>
        </r>
      </text>
    </comment>
    <comment ref="V41" authorId="1" shapeId="0" xr:uid="{2D148309-F338-4CC6-957F-D077AE247D66}">
      <text>
        <r>
          <rPr>
            <b/>
            <sz val="9"/>
            <color indexed="81"/>
            <rFont val="Segoe UI"/>
            <charset val="1"/>
          </rPr>
          <t>Samuel Kruppa:</t>
        </r>
        <r>
          <rPr>
            <sz val="9"/>
            <color indexed="81"/>
            <rFont val="Segoe UI"/>
            <charset val="1"/>
          </rPr>
          <t xml:space="preserve">
G-Faktor der normalerweise 1,0 beträgt, 2023 auch, also ZE 100%</t>
        </r>
      </text>
    </comment>
    <comment ref="AD41" authorId="1" shapeId="0" xr:uid="{5CE79B27-DEEA-4470-B888-D7E4A32FA58F}">
      <text>
        <r>
          <rPr>
            <b/>
            <sz val="9"/>
            <color indexed="81"/>
            <rFont val="Segoe UI"/>
            <charset val="1"/>
          </rPr>
          <t>Samuel Kruppa:</t>
        </r>
        <r>
          <rPr>
            <sz val="9"/>
            <color indexed="81"/>
            <rFont val="Segoe UI"/>
            <charset val="1"/>
          </rPr>
          <t xml:space="preserve">
CEO, der allerdings auch CEO von Porsche ist (auch einberechnet), auszahlung</t>
        </r>
      </text>
    </comment>
    <comment ref="AI41" authorId="1" shapeId="0" xr:uid="{97585177-D08A-4B46-AB10-0C0410C47D5B}">
      <text>
        <r>
          <rPr>
            <b/>
            <sz val="9"/>
            <color indexed="81"/>
            <rFont val="Segoe UI"/>
          </rPr>
          <t>Samuel Kruppa:</t>
        </r>
        <r>
          <rPr>
            <sz val="9"/>
            <color indexed="81"/>
            <rFont val="Segoe UI"/>
          </rPr>
          <t xml:space="preserve">
Performance periode 21-23</t>
        </r>
      </text>
    </comment>
    <comment ref="F42" authorId="1" shapeId="0" xr:uid="{29FFABBE-004C-4ED1-B112-1F02710D7BFB}">
      <text>
        <r>
          <rPr>
            <sz val="11"/>
            <color theme="1"/>
            <rFont val="Aptos Narrow"/>
            <family val="2"/>
            <scheme val="minor"/>
          </rPr>
          <t>Samuel Kruppa:
Keine STI ESG Ziele</t>
        </r>
      </text>
    </comment>
    <comment ref="AI42" authorId="1" shapeId="0" xr:uid="{F84944D7-91D1-4EE7-8A75-3CD31422CF5C}">
      <text>
        <r>
          <rPr>
            <b/>
            <sz val="9"/>
            <color indexed="81"/>
            <rFont val="Segoe UI"/>
          </rPr>
          <t>Samuel Kruppa:</t>
        </r>
        <r>
          <rPr>
            <sz val="9"/>
            <color indexed="81"/>
            <rFont val="Segoe UI"/>
          </rPr>
          <t xml:space="preserve">
Tranche 2020</t>
        </r>
      </text>
    </comment>
    <comment ref="AN42" authorId="1" shapeId="0" xr:uid="{7E4B6CC3-9AF0-4EC4-B813-EA47CB204DD6}">
      <text>
        <r>
          <rPr>
            <b/>
            <sz val="9"/>
            <color indexed="81"/>
            <rFont val="Segoe UI"/>
          </rPr>
          <t>Samuel Kruppa:</t>
        </r>
        <r>
          <rPr>
            <sz val="9"/>
            <color indexed="81"/>
            <rFont val="Segoe UI"/>
          </rPr>
          <t xml:space="preserve">
25/6= 4,17 % je 1 der 6 ESG Ziele, gemittlelt nach S.17</t>
        </r>
      </text>
    </comment>
    <comment ref="AQ42" authorId="1" shapeId="0" xr:uid="{D436CEE4-9429-460B-9DEA-0865F157B512}">
      <text>
        <r>
          <rPr>
            <b/>
            <sz val="9"/>
            <color indexed="81"/>
            <rFont val="Segoe UI"/>
          </rPr>
          <t>Samuel Kruppa:</t>
        </r>
        <r>
          <rPr>
            <sz val="9"/>
            <color indexed="81"/>
            <rFont val="Segoe UI"/>
          </rPr>
          <t xml:space="preserve">
25/6= 4,17 % je 1 der 6 ESG Ziele, gemittlelt nach S.17</t>
        </r>
      </text>
    </comment>
    <comment ref="AS42" authorId="1" shapeId="0" xr:uid="{6ACAF3E0-086F-4116-840D-44DEBF00BFEC}">
      <text>
        <r>
          <rPr>
            <sz val="11"/>
            <color theme="1"/>
            <rFont val="Aptos Narrow"/>
            <family val="2"/>
            <scheme val="minor"/>
          </rPr>
          <t>Samuel Kruppa:
25/6= 4,17 % je 1 der 6 ESG Ziele, gemittelt nach S.17</t>
        </r>
      </text>
    </comment>
    <comment ref="AX42" authorId="1" shapeId="0" xr:uid="{4AA2B49F-6C61-43EC-969A-348982E27AAF}">
      <text>
        <r>
          <rPr>
            <sz val="11"/>
            <color theme="1"/>
            <rFont val="Aptos Narrow"/>
            <family val="2"/>
            <scheme val="minor"/>
          </rPr>
          <t>Samuel Kruppa:
1 der 6 ESG Ziele, gemittelt nach S.17</t>
        </r>
      </text>
    </comment>
    <comment ref="D43" authorId="1" shapeId="0" xr:uid="{BB06B035-972F-4A73-834D-26F6B04443FF}">
      <text>
        <r>
          <rPr>
            <sz val="11"/>
            <color theme="1"/>
            <rFont val="Aptos Narrow"/>
            <family val="2"/>
            <scheme val="minor"/>
          </rPr>
          <t>Samuel Kruppa:
Es gibt keine STI Ziele, stattdessen werden Zalando Optionen und Aktien vierteljährig ohne Leistungsbedingung herausgegeben. Ab 2024 sollen allerdins STI eingeführt werden.</t>
        </r>
      </text>
    </comment>
    <comment ref="E43" authorId="1" shapeId="0" xr:uid="{2BF28E29-276C-4BE5-8406-853805B39CD2}">
      <text>
        <r>
          <rPr>
            <sz val="11"/>
            <color theme="1"/>
            <rFont val="Aptos Narrow"/>
            <family val="2"/>
            <scheme val="minor"/>
          </rPr>
          <t>Samuel Kruppa:
Es gibt keine STI Ziele, stattdessen werden Zalando Optionen und Aktien vierteljährig ohne Leistungsbedingung herausgegeben. Ab 2024 sollen allerdins STI eingeführt werden.</t>
        </r>
      </text>
    </comment>
    <comment ref="F43" authorId="1" shapeId="0" xr:uid="{17874CAE-1290-4142-A034-8C2768C1DB2D}">
      <text>
        <r>
          <rPr>
            <sz val="11"/>
            <color theme="1"/>
            <rFont val="Aptos Narrow"/>
            <family val="2"/>
            <scheme val="minor"/>
          </rPr>
          <t>Samuel Kruppa:
Es gibt keine STI Ziele, stattdessen werden Zalando Optionen und Aktien vierteljährig ohne Leistungsbedingung herausgegeben. Ab 2024 sollen allerdins STI eingeführt werden.</t>
        </r>
      </text>
    </comment>
    <comment ref="AF43" authorId="1" shapeId="0" xr:uid="{8ADC6B31-1686-4A57-963E-845F305909CC}">
      <text>
        <r>
          <rPr>
            <b/>
            <sz val="9"/>
            <color indexed="81"/>
            <rFont val="Segoe UI"/>
            <charset val="1"/>
          </rPr>
          <t>Samuel Kruppa:</t>
        </r>
        <r>
          <rPr>
            <sz val="9"/>
            <color indexed="81"/>
            <rFont val="Segoe UI"/>
            <charset val="1"/>
          </rPr>
          <t xml:space="preserve">
ESG-Modifier (0,8-1), wirkt also nie positiv</t>
        </r>
      </text>
    </comment>
    <comment ref="AI43" authorId="1" shapeId="0" xr:uid="{48E7A1B0-3F41-4124-90BF-2850A9B864E1}">
      <text>
        <r>
          <rPr>
            <b/>
            <sz val="9"/>
            <color indexed="81"/>
            <rFont val="Segoe UI"/>
            <charset val="1"/>
          </rPr>
          <t>Samuel Kruppa:</t>
        </r>
        <r>
          <rPr>
            <sz val="9"/>
            <color indexed="81"/>
            <rFont val="Segoe UI"/>
            <charset val="1"/>
          </rPr>
          <t xml:space="preserve">
LTI 2019</t>
        </r>
      </text>
    </comment>
    <comment ref="AK43" authorId="1" shapeId="0" xr:uid="{C39749F5-C0DD-4511-8E37-67B7AECA3B5D}">
      <text>
        <r>
          <rPr>
            <b/>
            <sz val="9"/>
            <color indexed="81"/>
            <rFont val="Segoe UI"/>
            <charset val="1"/>
          </rPr>
          <t>Samuel Kruppa:</t>
        </r>
        <r>
          <rPr>
            <sz val="9"/>
            <color indexed="81"/>
            <rFont val="Segoe UI"/>
            <charset val="1"/>
          </rPr>
          <t xml:space="preserve">
(i) Scope 1 und 2 THG Emissionen, (ii) Erneuerbare Elektrizität, (iii) Scope 3 THG Emissionen, (iv) Science
Based Targets bei Lieferanten – alle gleich stark gewichtet</t>
        </r>
      </text>
    </comment>
    <comment ref="AL43" authorId="1" shapeId="0" xr:uid="{5ECCA99A-E5F8-44BF-BDD2-38942B55B459}">
      <text>
        <r>
          <rPr>
            <b/>
            <sz val="9"/>
            <color indexed="81"/>
            <rFont val="Segoe UI"/>
          </rPr>
          <t>Samuel Kruppa:</t>
        </r>
        <r>
          <rPr>
            <sz val="9"/>
            <color indexed="81"/>
            <rFont val="Segoe UI"/>
          </rPr>
          <t xml:space="preserve">
je 12,5 % des ESG-Faktors</t>
        </r>
      </text>
    </comment>
    <comment ref="AR43" authorId="1" shapeId="0" xr:uid="{F5ED6572-A007-4179-ABF8-6925DE6462EE}">
      <text>
        <r>
          <rPr>
            <b/>
            <sz val="9"/>
            <color indexed="81"/>
            <rFont val="Segoe UI"/>
            <charset val="1"/>
          </rPr>
          <t>Samuel Kruppa:</t>
        </r>
        <r>
          <rPr>
            <sz val="9"/>
            <color indexed="81"/>
            <rFont val="Segoe UI"/>
            <charset val="1"/>
          </rPr>
          <t xml:space="preserve">
Anteil von Frauen in einer (i) Senior Contributor 1-Rolle,
(ii) Senior Contributor 2-Rolle, (iii) Executive Contributor 1-Rolle,
(iv) Executive Contributor 2-Rolle, (v) C8-Rolle – alle gleich stark
gewichtet</t>
        </r>
      </text>
    </comment>
    <comment ref="AS43" authorId="1" shapeId="0" xr:uid="{3536F0F5-BD21-4234-93D7-1E74D53FDA05}">
      <text>
        <r>
          <rPr>
            <b/>
            <sz val="9"/>
            <color indexed="81"/>
            <rFont val="Segoe UI"/>
          </rPr>
          <t>Samuel Kruppa:</t>
        </r>
        <r>
          <rPr>
            <sz val="9"/>
            <color indexed="81"/>
            <rFont val="Segoe UI"/>
          </rPr>
          <t xml:space="preserve">
50% des ESG-faktors</t>
        </r>
      </text>
    </comment>
    <comment ref="AW43" authorId="1" shapeId="0" xr:uid="{6F1E92B0-E927-4536-89DB-3EF9E48BB538}">
      <text>
        <r>
          <rPr>
            <b/>
            <sz val="9"/>
            <color indexed="81"/>
            <rFont val="Segoe UI"/>
            <charset val="1"/>
          </rPr>
          <t>Samuel Kruppa:</t>
        </r>
        <r>
          <rPr>
            <sz val="9"/>
            <color indexed="81"/>
            <rFont val="Segoe UI"/>
            <charset val="1"/>
          </rPr>
          <t xml:space="preserve">
Anteil von Frauen in einer (i) Senior Contributor 1-Rolle,
(ii) Senior Contributor 2-Rolle, (iii) Executive Contributor 1-Rolle,
(iv) Executive Contributor 2-Rolle, (v) C8-Rolle – alle gleich stark
gewichtet</t>
        </r>
      </text>
    </comment>
    <comment ref="AX43" authorId="1" shapeId="0" xr:uid="{4EEEBD8D-E08B-4D6C-88D6-145909A813A5}">
      <text>
        <r>
          <rPr>
            <b/>
            <sz val="9"/>
            <color indexed="81"/>
            <rFont val="Segoe UI"/>
          </rPr>
          <t>Samuel Kruppa:</t>
        </r>
        <r>
          <rPr>
            <sz val="9"/>
            <color indexed="81"/>
            <rFont val="Segoe UI"/>
          </rPr>
          <t xml:space="preserve">
50% des ESG-faktors</t>
        </r>
      </text>
    </comment>
    <comment ref="AY43" authorId="1" shapeId="0" xr:uid="{A5A7F0AA-5BFE-4E38-A855-9A379B005F6A}">
      <text>
        <r>
          <rPr>
            <b/>
            <sz val="9"/>
            <color indexed="81"/>
            <rFont val="Segoe UI"/>
            <charset val="1"/>
          </rPr>
          <t>Samuel Kruppa:</t>
        </r>
        <r>
          <rPr>
            <sz val="9"/>
            <color indexed="81"/>
            <rFont val="Segoe UI"/>
            <charset val="1"/>
          </rPr>
          <t xml:space="preserve">
gemittelt nach S.22</t>
        </r>
      </text>
    </comment>
    <comment ref="D44" authorId="1" shapeId="0" xr:uid="{29C97873-8012-433B-AC01-48DF48718753}">
      <text>
        <r>
          <rPr>
            <b/>
            <sz val="9"/>
            <color indexed="81"/>
            <rFont val="Segoe UI"/>
            <family val="2"/>
          </rPr>
          <t>Samuel Kruppa:</t>
        </r>
        <r>
          <rPr>
            <sz val="9"/>
            <color indexed="81"/>
            <rFont val="Segoe UI"/>
            <family val="2"/>
          </rPr>
          <t xml:space="preserve">
gewährte und geschuldete Vergütung CEO, berechnet nach S.14</t>
        </r>
      </text>
    </comment>
    <comment ref="I44" authorId="1" shapeId="0" xr:uid="{A40F99B1-8C89-459E-96BF-5CCD1D731170}">
      <text>
        <r>
          <rPr>
            <b/>
            <sz val="9"/>
            <color indexed="81"/>
            <rFont val="Segoe UI"/>
            <charset val="1"/>
          </rPr>
          <t>Samuel Kruppa:</t>
        </r>
        <r>
          <rPr>
            <sz val="9"/>
            <color indexed="81"/>
            <rFont val="Segoe UI"/>
            <charset val="1"/>
          </rPr>
          <t xml:space="preserve">
berechnet nach S.11</t>
        </r>
      </text>
    </comment>
    <comment ref="AD44" authorId="1" shapeId="0" xr:uid="{3192EC94-CA9D-40E2-80D4-B5271F9CCC10}">
      <text>
        <r>
          <rPr>
            <b/>
            <sz val="9"/>
            <color indexed="81"/>
            <rFont val="Segoe UI"/>
            <family val="2"/>
          </rPr>
          <t>Samuel Kruppa:</t>
        </r>
        <r>
          <rPr>
            <sz val="9"/>
            <color indexed="81"/>
            <rFont val="Segoe UI"/>
            <family val="2"/>
          </rPr>
          <t xml:space="preserve">
gewährte und geschuldete Vergütung CEO, berechnet nach S.14</t>
        </r>
      </text>
    </comment>
    <comment ref="AI44" authorId="1" shapeId="0" xr:uid="{FF8F77A5-C1E6-405A-9C2D-2886B1C8BFE5}">
      <text>
        <r>
          <rPr>
            <b/>
            <sz val="9"/>
            <color indexed="81"/>
            <rFont val="Segoe UI"/>
            <charset val="1"/>
          </rPr>
          <t>Samuel Kruppa:</t>
        </r>
        <r>
          <rPr>
            <sz val="9"/>
            <color indexed="81"/>
            <rFont val="Segoe UI"/>
            <charset val="1"/>
          </rPr>
          <t xml:space="preserve">
LTI 2021, berechnet nach S.12</t>
        </r>
      </text>
    </comment>
    <comment ref="AM44" authorId="1" shapeId="0" xr:uid="{1837B139-ABC3-400B-ADB5-370A970E4AE2}">
      <text>
        <r>
          <rPr>
            <b/>
            <sz val="9"/>
            <color indexed="81"/>
            <rFont val="Segoe UI"/>
            <charset val="1"/>
          </rPr>
          <t>Samuel Kruppa:</t>
        </r>
        <r>
          <rPr>
            <sz val="9"/>
            <color indexed="81"/>
            <rFont val="Segoe UI"/>
            <charset val="1"/>
          </rPr>
          <t xml:space="preserve">
ZE 149% LTI 2021</t>
        </r>
      </text>
    </comment>
    <comment ref="AN44" authorId="1" shapeId="0" xr:uid="{58976F8F-B8F8-45D6-96FC-984F8D547F00}">
      <text>
        <r>
          <rPr>
            <b/>
            <sz val="9"/>
            <color indexed="81"/>
            <rFont val="Segoe UI"/>
            <family val="2"/>
          </rPr>
          <t>Samuel Kruppa:</t>
        </r>
        <r>
          <rPr>
            <sz val="9"/>
            <color indexed="81"/>
            <rFont val="Segoe UI"/>
            <family val="2"/>
          </rPr>
          <t xml:space="preserve">
gemittelt</t>
        </r>
      </text>
    </comment>
    <comment ref="AR44" authorId="1" shapeId="0" xr:uid="{E35082FF-958A-4A7A-B10C-6AB8BACA46A2}">
      <text>
        <r>
          <rPr>
            <b/>
            <sz val="9"/>
            <color indexed="81"/>
            <rFont val="Segoe UI"/>
            <charset val="1"/>
          </rPr>
          <t>Samuel Kruppa:</t>
        </r>
        <r>
          <rPr>
            <sz val="9"/>
            <color indexed="81"/>
            <rFont val="Segoe UI"/>
            <charset val="1"/>
          </rPr>
          <t xml:space="preserve">
ZE 250% Tranche 2021</t>
        </r>
      </text>
    </comment>
    <comment ref="AS44" authorId="1" shapeId="0" xr:uid="{2C78F76A-0E61-47AD-B150-438F912AB6AE}">
      <text>
        <r>
          <rPr>
            <b/>
            <sz val="9"/>
            <color indexed="81"/>
            <rFont val="Segoe UI"/>
            <family val="2"/>
          </rPr>
          <t>Samuel Kruppa:</t>
        </r>
        <r>
          <rPr>
            <sz val="9"/>
            <color indexed="81"/>
            <rFont val="Segoe UI"/>
            <family val="2"/>
          </rPr>
          <t xml:space="preserve">
gemittelt</t>
        </r>
      </text>
    </comment>
    <comment ref="D45" authorId="1" shapeId="0" xr:uid="{3DD44D3E-380D-4A9F-A6F7-B62A1131F5C9}">
      <text>
        <r>
          <rPr>
            <b/>
            <sz val="9"/>
            <color indexed="81"/>
            <rFont val="Segoe UI"/>
          </rPr>
          <t>Samuel Kruppa:</t>
        </r>
        <r>
          <rPr>
            <sz val="9"/>
            <color indexed="81"/>
            <rFont val="Segoe UI"/>
          </rPr>
          <t xml:space="preserve">
Spanne von 5 -20 %, S.7 remuneration policy</t>
        </r>
      </text>
    </comment>
    <comment ref="K45" authorId="1" shapeId="0" xr:uid="{D96D2CEB-5451-47E4-9E80-46606C78859C}">
      <text>
        <r>
          <rPr>
            <b/>
            <sz val="9"/>
            <color indexed="81"/>
            <rFont val="Segoe UI"/>
          </rPr>
          <t>Samuel Kruppa:</t>
        </r>
        <r>
          <rPr>
            <sz val="9"/>
            <color indexed="81"/>
            <rFont val="Segoe UI"/>
          </rPr>
          <t xml:space="preserve">
Emission reduction</t>
        </r>
      </text>
    </comment>
    <comment ref="AD45" authorId="1" shapeId="0" xr:uid="{607111C0-5647-4EBC-BD58-BBEBB3225409}">
      <text>
        <r>
          <rPr>
            <b/>
            <sz val="9"/>
            <color indexed="81"/>
            <rFont val="Segoe UI"/>
          </rPr>
          <t>Samuel Kruppa:</t>
        </r>
        <r>
          <rPr>
            <sz val="9"/>
            <color indexed="81"/>
            <rFont val="Segoe UI"/>
          </rPr>
          <t xml:space="preserve">
Spanne von 30-60 %, S.7 remuneration policy</t>
        </r>
      </text>
    </comment>
    <comment ref="D46" authorId="1" shapeId="0" xr:uid="{B09C457E-BC2B-4ADB-B24B-7D9B665AD9FD}">
      <text>
        <r>
          <rPr>
            <b/>
            <sz val="9"/>
            <color indexed="81"/>
            <rFont val="Segoe UI"/>
            <family val="2"/>
          </rPr>
          <t xml:space="preserve">Samuel Kruppa:
</t>
        </r>
        <r>
          <rPr>
            <sz val="9"/>
            <color indexed="81"/>
            <rFont val="Segoe UI"/>
            <family val="2"/>
          </rPr>
          <t>gemittelt nach S.36</t>
        </r>
      </text>
    </comment>
    <comment ref="G46" authorId="1" shapeId="0" xr:uid="{33FEE113-5DDF-4FDC-8D3D-28888F7CAEE3}">
      <text>
        <r>
          <rPr>
            <b/>
            <sz val="9"/>
            <color indexed="81"/>
            <rFont val="Segoe UI"/>
            <family val="2"/>
          </rPr>
          <t>Samuel Kruppa:</t>
        </r>
        <r>
          <rPr>
            <sz val="9"/>
            <color indexed="81"/>
            <rFont val="Segoe UI"/>
            <family val="2"/>
          </rPr>
          <t xml:space="preserve">
berechnet nach S. 39</t>
        </r>
      </text>
    </comment>
    <comment ref="M46" authorId="1" shapeId="0" xr:uid="{BF9ED487-5E3B-4690-B84B-337EEF5B93E6}">
      <text>
        <r>
          <rPr>
            <b/>
            <sz val="9"/>
            <color indexed="81"/>
            <rFont val="Segoe UI"/>
            <charset val="1"/>
          </rPr>
          <t>Samuel Kruppa:</t>
        </r>
        <r>
          <rPr>
            <sz val="9"/>
            <color indexed="81"/>
            <rFont val="Segoe UI"/>
            <charset val="1"/>
          </rPr>
          <t xml:space="preserve">
ZE 125%</t>
        </r>
      </text>
    </comment>
    <comment ref="N46" authorId="1" shapeId="0" xr:uid="{2CCB0EE7-5D58-44D6-973F-E8A7E1DD8C87}">
      <text>
        <r>
          <rPr>
            <b/>
            <sz val="9"/>
            <color indexed="81"/>
            <rFont val="Segoe UI"/>
            <family val="2"/>
          </rPr>
          <t>Samuel Kruppa:</t>
        </r>
        <r>
          <rPr>
            <sz val="9"/>
            <color indexed="81"/>
            <rFont val="Segoe UI"/>
            <family val="2"/>
          </rPr>
          <t xml:space="preserve">
nach S.39</t>
        </r>
      </text>
    </comment>
    <comment ref="R46" authorId="1" shapeId="0" xr:uid="{2E5EBF43-507E-47E4-A042-B4EA52C38B88}">
      <text>
        <r>
          <rPr>
            <b/>
            <sz val="9"/>
            <color indexed="81"/>
            <rFont val="Segoe UI"/>
            <charset val="1"/>
          </rPr>
          <t>Samuel Kruppa:</t>
        </r>
        <r>
          <rPr>
            <sz val="9"/>
            <color indexed="81"/>
            <rFont val="Segoe UI"/>
            <charset val="1"/>
          </rPr>
          <t xml:space="preserve">
ZE 0%; ZE 125%</t>
        </r>
      </text>
    </comment>
    <comment ref="S46" authorId="1" shapeId="0" xr:uid="{51294D8A-E6E9-4D44-9042-10315D6D40BA}">
      <text>
        <r>
          <rPr>
            <b/>
            <sz val="9"/>
            <color indexed="81"/>
            <rFont val="Segoe UI"/>
            <family val="2"/>
          </rPr>
          <t>Samuel Kruppa:</t>
        </r>
        <r>
          <rPr>
            <sz val="9"/>
            <color indexed="81"/>
            <rFont val="Segoe UI"/>
            <family val="2"/>
          </rPr>
          <t xml:space="preserve">
berechnet nach S.39</t>
        </r>
      </text>
    </comment>
    <comment ref="AD46" authorId="1" shapeId="0" xr:uid="{38759D5D-8B5C-404A-A43B-49AD622F6276}">
      <text>
        <r>
          <rPr>
            <b/>
            <sz val="9"/>
            <color indexed="81"/>
            <rFont val="Segoe UI"/>
            <family val="2"/>
          </rPr>
          <t xml:space="preserve">Samuel Kruppa:
</t>
        </r>
        <r>
          <rPr>
            <sz val="9"/>
            <color indexed="81"/>
            <rFont val="Segoe UI"/>
            <family val="2"/>
          </rPr>
          <t>gemittelt nach S.36</t>
        </r>
      </text>
    </comment>
    <comment ref="AI46" authorId="1" shapeId="0" xr:uid="{F40EB8D1-7CEF-4580-AC07-444638FE7DA1}">
      <text>
        <r>
          <rPr>
            <b/>
            <sz val="9"/>
            <color indexed="81"/>
            <rFont val="Segoe UI"/>
            <family val="2"/>
          </rPr>
          <t>Samuel Kruppa:</t>
        </r>
        <r>
          <rPr>
            <sz val="9"/>
            <color indexed="81"/>
            <rFont val="Segoe UI"/>
            <family val="2"/>
          </rPr>
          <t xml:space="preserve">
Performance Cash Plan 2020/21 –
Zielerreichung operativer ROCE</t>
        </r>
      </text>
    </comment>
    <comment ref="AY46" authorId="1" shapeId="0" xr:uid="{C86B845C-2426-4185-8878-351D7D9517E6}">
      <text>
        <r>
          <rPr>
            <b/>
            <sz val="9"/>
            <color indexed="81"/>
            <rFont val="Segoe UI"/>
            <family val="2"/>
          </rPr>
          <t>Samuel Kruppa:</t>
        </r>
        <r>
          <rPr>
            <sz val="9"/>
            <color indexed="81"/>
            <rFont val="Segoe UI"/>
            <family val="2"/>
          </rPr>
          <t xml:space="preserve">
gemittelt nach S.35</t>
        </r>
      </text>
    </comment>
    <comment ref="D47" authorId="1" shapeId="0" xr:uid="{F37D0E0E-0F6B-44C1-B1C8-903E47D5FC58}">
      <text>
        <r>
          <rPr>
            <b/>
            <sz val="9"/>
            <color indexed="81"/>
            <rFont val="Segoe UI"/>
            <family val="2"/>
          </rPr>
          <t>Samuel Kruppa:</t>
        </r>
        <r>
          <rPr>
            <sz val="9"/>
            <color indexed="81"/>
            <rFont val="Segoe UI"/>
            <family val="2"/>
          </rPr>
          <t xml:space="preserve">
gemittelt nach S.8</t>
        </r>
      </text>
    </comment>
    <comment ref="F47" authorId="1" shapeId="0" xr:uid="{D0510724-A359-462D-91FE-A9F35B5DFB22}">
      <text>
        <r>
          <rPr>
            <b/>
            <sz val="9"/>
            <color indexed="81"/>
            <rFont val="Segoe UI"/>
            <family val="2"/>
          </rPr>
          <t>Samuel Kruppa:</t>
        </r>
        <r>
          <rPr>
            <sz val="9"/>
            <color indexed="81"/>
            <rFont val="Segoe UI"/>
            <family val="2"/>
          </rPr>
          <t xml:space="preserve">
Kriterienbasierter Modifier (0,9-1,2), der auch ESG Ziele enthält</t>
        </r>
      </text>
    </comment>
    <comment ref="G47" authorId="1" shapeId="0" xr:uid="{16C6A9AD-CB8E-4633-932B-259DEAF4C419}">
      <text>
        <r>
          <rPr>
            <b/>
            <sz val="9"/>
            <color indexed="81"/>
            <rFont val="Segoe UI"/>
            <charset val="1"/>
          </rPr>
          <t>Samuel Kruppa:</t>
        </r>
        <r>
          <rPr>
            <sz val="9"/>
            <color indexed="81"/>
            <rFont val="Segoe UI"/>
            <charset val="1"/>
          </rPr>
          <t xml:space="preserve">
3 von 8 Zielen des Modifiers sind ESG</t>
        </r>
      </text>
    </comment>
    <comment ref="I47" authorId="1" shapeId="0" xr:uid="{8478D59C-8350-4187-8DBE-55808CAB5274}">
      <text>
        <r>
          <rPr>
            <b/>
            <sz val="9"/>
            <color indexed="81"/>
            <rFont val="Segoe UI"/>
            <family val="2"/>
          </rPr>
          <t>Samuel Kruppa:</t>
        </r>
        <r>
          <rPr>
            <sz val="9"/>
            <color indexed="81"/>
            <rFont val="Segoe UI"/>
            <family val="2"/>
          </rPr>
          <t xml:space="preserve">
CEO</t>
        </r>
      </text>
    </comment>
    <comment ref="R47" authorId="1" shapeId="0" xr:uid="{273DC431-983F-4617-A07D-67C0B332D79D}">
      <text>
        <r>
          <rPr>
            <b/>
            <sz val="9"/>
            <color indexed="81"/>
            <rFont val="Segoe UI"/>
            <charset val="1"/>
          </rPr>
          <t>Samuel Kruppa:</t>
        </r>
        <r>
          <rPr>
            <sz val="9"/>
            <color indexed="81"/>
            <rFont val="Segoe UI"/>
            <charset val="1"/>
          </rPr>
          <t xml:space="preserve">
hier wurden die vereinbarten Ziele mehr als erreicht, S.12</t>
        </r>
      </text>
    </comment>
    <comment ref="AD47" authorId="1" shapeId="0" xr:uid="{3211ADED-EF97-46DE-ACE0-4F94EE10382B}">
      <text>
        <r>
          <rPr>
            <b/>
            <sz val="9"/>
            <color indexed="81"/>
            <rFont val="Segoe UI"/>
            <family val="2"/>
          </rPr>
          <t>Samuel Kruppa:</t>
        </r>
        <r>
          <rPr>
            <sz val="9"/>
            <color indexed="81"/>
            <rFont val="Segoe UI"/>
            <family val="2"/>
          </rPr>
          <t xml:space="preserve">
gemittelt nach S.8</t>
        </r>
      </text>
    </comment>
    <comment ref="AI47" authorId="1" shapeId="0" xr:uid="{22D8CF26-6F0A-40DC-868E-8F6CA8331678}">
      <text>
        <r>
          <rPr>
            <b/>
            <sz val="9"/>
            <color indexed="81"/>
            <rFont val="Segoe UI"/>
            <family val="2"/>
          </rPr>
          <t>Samuel Kruppa:</t>
        </r>
        <r>
          <rPr>
            <sz val="9"/>
            <color indexed="81"/>
            <rFont val="Segoe UI"/>
            <family val="2"/>
          </rPr>
          <t xml:space="preserve">
CEO</t>
        </r>
      </text>
    </comment>
    <comment ref="D48" authorId="1" shapeId="0" xr:uid="{ACED3C46-B8A8-4AA4-972C-6BE4F51342B2}">
      <text>
        <r>
          <rPr>
            <b/>
            <sz val="9"/>
            <color indexed="81"/>
            <rFont val="Segoe UI"/>
            <family val="2"/>
          </rPr>
          <t>Samuel Kruppa:</t>
        </r>
        <r>
          <rPr>
            <sz val="9"/>
            <color indexed="81"/>
            <rFont val="Segoe UI"/>
            <family val="2"/>
          </rPr>
          <t xml:space="preserve">
gemittelt nach S.81</t>
        </r>
      </text>
    </comment>
    <comment ref="I48" authorId="1" shapeId="0" xr:uid="{99022923-9200-4D9D-8A23-D7D020E956CA}">
      <text>
        <r>
          <rPr>
            <b/>
            <sz val="9"/>
            <color indexed="81"/>
            <rFont val="Segoe UI"/>
            <family val="2"/>
          </rPr>
          <t>Samuel Kruppa:</t>
        </r>
        <r>
          <rPr>
            <sz val="9"/>
            <color indexed="81"/>
            <rFont val="Segoe UI"/>
            <family val="2"/>
          </rPr>
          <t xml:space="preserve">
CEO</t>
        </r>
      </text>
    </comment>
    <comment ref="AD48" authorId="1" shapeId="0" xr:uid="{D7E1EE29-625A-4E93-A300-43B934C61459}">
      <text>
        <r>
          <rPr>
            <b/>
            <sz val="9"/>
            <color indexed="81"/>
            <rFont val="Segoe UI"/>
            <family val="2"/>
          </rPr>
          <t>Samuel Kruppa:</t>
        </r>
        <r>
          <rPr>
            <sz val="9"/>
            <color indexed="81"/>
            <rFont val="Segoe UI"/>
            <family val="2"/>
          </rPr>
          <t xml:space="preserve">
gemittelt nach S.81</t>
        </r>
      </text>
    </comment>
    <comment ref="AI48" authorId="1" shapeId="0" xr:uid="{4119F623-BC65-43ED-9729-B79C5060BADA}">
      <text>
        <r>
          <rPr>
            <b/>
            <sz val="9"/>
            <color indexed="81"/>
            <rFont val="Segoe UI"/>
            <family val="2"/>
          </rPr>
          <t>Samuel Kruppa:</t>
        </r>
        <r>
          <rPr>
            <sz val="9"/>
            <color indexed="81"/>
            <rFont val="Segoe UI"/>
            <family val="2"/>
          </rPr>
          <t xml:space="preserve">
CEO Tranche 2019/20 - 2021/22</t>
        </r>
      </text>
    </comment>
    <comment ref="D49" authorId="1" shapeId="0" xr:uid="{A61A3D4D-BD9C-4D08-B4D2-17ECE1454BA1}">
      <text>
        <r>
          <rPr>
            <b/>
            <sz val="9"/>
            <color indexed="81"/>
            <rFont val="Segoe UI"/>
            <family val="2"/>
          </rPr>
          <t>Samuel Kruppa:</t>
        </r>
        <r>
          <rPr>
            <sz val="9"/>
            <color indexed="81"/>
            <rFont val="Segoe UI"/>
            <family val="2"/>
          </rPr>
          <t xml:space="preserve">
gewährte und geschuldete Vergütung, CEO, S.5</t>
        </r>
      </text>
    </comment>
    <comment ref="I49" authorId="1" shapeId="0" xr:uid="{53183A8D-40E3-4B0A-B698-0A1A054B1C13}">
      <text>
        <r>
          <rPr>
            <b/>
            <sz val="9"/>
            <color indexed="81"/>
            <rFont val="Segoe UI"/>
            <family val="2"/>
          </rPr>
          <t>Samuel Kruppa:</t>
        </r>
        <r>
          <rPr>
            <sz val="9"/>
            <color indexed="81"/>
            <rFont val="Segoe UI"/>
            <family val="2"/>
          </rPr>
          <t xml:space="preserve">
CEO</t>
        </r>
      </text>
    </comment>
    <comment ref="Y49" authorId="1" shapeId="0" xr:uid="{966900F4-9D25-4EC6-87DF-0B579D53B698}">
      <text>
        <r>
          <rPr>
            <b/>
            <sz val="9"/>
            <color indexed="81"/>
            <rFont val="Segoe UI"/>
            <family val="2"/>
          </rPr>
          <t>Samuel Kruppa:</t>
        </r>
        <r>
          <rPr>
            <sz val="9"/>
            <color indexed="81"/>
            <rFont val="Segoe UI"/>
            <family val="2"/>
          </rPr>
          <t xml:space="preserve">
Keine Angaben, gesamter Vorstand hat insgesamt eine Maximalvergütung von 12 Mio €</t>
        </r>
      </text>
    </comment>
    <comment ref="AD49" authorId="1" shapeId="0" xr:uid="{8DD2AB44-E32C-4824-8155-FE98CD0581F7}">
      <text>
        <r>
          <rPr>
            <b/>
            <sz val="9"/>
            <color indexed="81"/>
            <rFont val="Segoe UI"/>
            <family val="2"/>
          </rPr>
          <t>Samuel Kruppa:</t>
        </r>
        <r>
          <rPr>
            <sz val="9"/>
            <color indexed="81"/>
            <rFont val="Segoe UI"/>
            <family val="2"/>
          </rPr>
          <t xml:space="preserve">
gewährte und geschuldete Vergütung, CEO, S.5</t>
        </r>
      </text>
    </comment>
    <comment ref="AI49" authorId="1" shapeId="0" xr:uid="{A0765F2A-A4CA-4704-9EDE-54FEC4FC5D00}">
      <text>
        <r>
          <rPr>
            <b/>
            <sz val="9"/>
            <color indexed="81"/>
            <rFont val="Segoe UI"/>
            <family val="2"/>
          </rPr>
          <t>Samuel Kruppa:</t>
        </r>
        <r>
          <rPr>
            <sz val="9"/>
            <color indexed="81"/>
            <rFont val="Segoe UI"/>
            <family val="2"/>
          </rPr>
          <t xml:space="preserve">
CEO</t>
        </r>
      </text>
    </comment>
    <comment ref="AY49" authorId="1" shapeId="0" xr:uid="{FB6016F0-CB22-452C-A64B-666A19A3090E}">
      <text>
        <r>
          <rPr>
            <b/>
            <sz val="9"/>
            <color indexed="81"/>
            <rFont val="Segoe UI"/>
            <family val="2"/>
          </rPr>
          <t>Samuel Kruppa:</t>
        </r>
        <r>
          <rPr>
            <sz val="9"/>
            <color indexed="81"/>
            <rFont val="Segoe UI"/>
            <family val="2"/>
          </rPr>
          <t xml:space="preserve">
Keine Angaben, gesamter Vorstand hat insgesamt eine Maximalvergütung von 12 Mio €</t>
        </r>
      </text>
    </comment>
    <comment ref="D50" authorId="1" shapeId="0" xr:uid="{132B125F-5D83-40EB-9488-66E3AEF06F3D}">
      <text>
        <r>
          <rPr>
            <b/>
            <sz val="9"/>
            <color indexed="81"/>
            <rFont val="Segoe UI"/>
            <family val="2"/>
          </rPr>
          <t>Samuel Kruppa:</t>
        </r>
        <r>
          <rPr>
            <sz val="9"/>
            <color indexed="81"/>
            <rFont val="Segoe UI"/>
            <family val="2"/>
          </rPr>
          <t xml:space="preserve">
gemittelt nach S.42</t>
        </r>
      </text>
    </comment>
    <comment ref="M50" authorId="1" shapeId="0" xr:uid="{C5AF29C7-10C1-4847-9C2F-0E282B51BCA3}">
      <text>
        <r>
          <rPr>
            <b/>
            <sz val="9"/>
            <color indexed="81"/>
            <rFont val="Segoe UI"/>
            <family val="2"/>
          </rPr>
          <t>Samuel Kruppa:</t>
        </r>
        <r>
          <rPr>
            <sz val="9"/>
            <color indexed="81"/>
            <rFont val="Segoe UI"/>
            <family val="2"/>
          </rPr>
          <t xml:space="preserve">
Zielerreichung 0%</t>
        </r>
      </text>
    </comment>
    <comment ref="R50" authorId="1" shapeId="0" xr:uid="{95E1B28A-9D66-4AE6-97DE-E8DB57E01FE1}">
      <text>
        <r>
          <rPr>
            <b/>
            <sz val="9"/>
            <color indexed="81"/>
            <rFont val="Segoe UI"/>
            <family val="2"/>
          </rPr>
          <t>Samuel Kruppa:</t>
        </r>
        <r>
          <rPr>
            <sz val="9"/>
            <color indexed="81"/>
            <rFont val="Segoe UI"/>
            <family val="2"/>
          </rPr>
          <t xml:space="preserve">
Zielerreichung 150%</t>
        </r>
      </text>
    </comment>
    <comment ref="W50" authorId="1" shapeId="0" xr:uid="{5A131104-D081-48FA-9A43-22E2C889BE90}">
      <text>
        <r>
          <rPr>
            <b/>
            <sz val="9"/>
            <color indexed="81"/>
            <rFont val="Segoe UI"/>
            <family val="2"/>
          </rPr>
          <t>Samuel Kruppa:</t>
        </r>
        <r>
          <rPr>
            <sz val="9"/>
            <color indexed="81"/>
            <rFont val="Segoe UI"/>
            <family val="2"/>
          </rPr>
          <t xml:space="preserve">
Zielerreichung 85,2
%</t>
        </r>
      </text>
    </comment>
    <comment ref="AD50" authorId="1" shapeId="0" xr:uid="{FE154BDD-764C-47FE-8296-A8B5E6D01539}">
      <text>
        <r>
          <rPr>
            <b/>
            <sz val="9"/>
            <color indexed="81"/>
            <rFont val="Segoe UI"/>
            <family val="2"/>
          </rPr>
          <t>Samuel Kruppa:</t>
        </r>
        <r>
          <rPr>
            <sz val="9"/>
            <color indexed="81"/>
            <rFont val="Segoe UI"/>
            <family val="2"/>
          </rPr>
          <t xml:space="preserve">
gemittelt nach S.42</t>
        </r>
      </text>
    </comment>
    <comment ref="D51" authorId="1" shapeId="0" xr:uid="{F2685D16-7950-45BC-9FF4-218C30062D4C}">
      <text>
        <r>
          <rPr>
            <b/>
            <sz val="9"/>
            <color indexed="81"/>
            <rFont val="Segoe UI"/>
          </rPr>
          <t>Samuel Kruppa:</t>
        </r>
        <r>
          <rPr>
            <sz val="9"/>
            <color indexed="81"/>
            <rFont val="Segoe UI"/>
          </rPr>
          <t xml:space="preserve">
CEO, S.4</t>
        </r>
      </text>
    </comment>
    <comment ref="P51" authorId="1" shapeId="0" xr:uid="{E6753596-EA03-4F05-BADF-7FF761EBE8B0}">
      <text>
        <r>
          <rPr>
            <b/>
            <sz val="9"/>
            <color indexed="81"/>
            <rFont val="Segoe UI"/>
            <family val="2"/>
          </rPr>
          <t>Samuel Kruppa:</t>
        </r>
        <r>
          <rPr>
            <sz val="9"/>
            <color indexed="81"/>
            <rFont val="Segoe UI"/>
            <family val="2"/>
          </rPr>
          <t xml:space="preserve">
Für den Parameter „Mitarbeiter“ wird der sogenannte Engagement Index betrachtet
 , der die Verbundenheit von Mitarbeitenden
mit dem Unternehmen, die Einsatzbereitschaft wie auch die Bereitschaft zur Weiterempfehlung
des Arbeitgebers misst.
Zielerreichung 200%</t>
        </r>
      </text>
    </comment>
    <comment ref="R51" authorId="1" shapeId="0" xr:uid="{A3E5B214-7A13-4CFF-8881-4198159063ED}">
      <text>
        <r>
          <rPr>
            <b/>
            <sz val="9"/>
            <color indexed="81"/>
            <rFont val="Segoe UI"/>
            <family val="2"/>
          </rPr>
          <t>Samuel Kruppa:</t>
        </r>
        <r>
          <rPr>
            <sz val="9"/>
            <color indexed="81"/>
            <rFont val="Segoe UI"/>
            <family val="2"/>
          </rPr>
          <t xml:space="preserve">
Zielerreichung 22,5%</t>
        </r>
      </text>
    </comment>
    <comment ref="AD51" authorId="1" shapeId="0" xr:uid="{90268604-4661-4A45-9A9D-F95F8DDF6657}">
      <text>
        <r>
          <rPr>
            <b/>
            <sz val="9"/>
            <color indexed="81"/>
            <rFont val="Segoe UI"/>
          </rPr>
          <t>Samuel Kruppa:</t>
        </r>
        <r>
          <rPr>
            <sz val="9"/>
            <color indexed="81"/>
            <rFont val="Segoe UI"/>
          </rPr>
          <t xml:space="preserve">
CEO, S.4</t>
        </r>
      </text>
    </comment>
    <comment ref="AI51" authorId="1" shapeId="0" xr:uid="{497AB0FD-6ABC-4D07-9691-DF77668EED3B}">
      <text>
        <r>
          <rPr>
            <b/>
            <sz val="9"/>
            <color indexed="81"/>
            <rFont val="Segoe UI"/>
            <family val="2"/>
          </rPr>
          <t>Samuel Kruppa:</t>
        </r>
        <r>
          <rPr>
            <sz val="9"/>
            <color indexed="81"/>
            <rFont val="Segoe UI"/>
            <family val="2"/>
          </rPr>
          <t xml:space="preserve">
Tranche 2020</t>
        </r>
      </text>
    </comment>
    <comment ref="AK51" authorId="1" shapeId="0" xr:uid="{E6AACAC6-1867-42ED-B89F-BA4D1851346D}">
      <text>
        <r>
          <rPr>
            <b/>
            <sz val="9"/>
            <color indexed="81"/>
            <rFont val="Segoe UI"/>
            <family val="2"/>
          </rPr>
          <t>Samuel Kruppa:</t>
        </r>
        <r>
          <rPr>
            <sz val="9"/>
            <color indexed="81"/>
            <rFont val="Segoe UI"/>
            <family val="2"/>
          </rPr>
          <t xml:space="preserve">
Reduktion der CO2-Intensität in Gramm CO2 pro Revenue
Tonne Kilometer </t>
        </r>
      </text>
    </comment>
    <comment ref="D52" authorId="1" shapeId="0" xr:uid="{4A4422CE-5E77-4E60-8EB9-7DE2345FE722}">
      <text>
        <r>
          <rPr>
            <sz val="11"/>
            <color theme="1"/>
            <rFont val="Aptos Narrow"/>
            <family val="2"/>
            <scheme val="minor"/>
          </rPr>
          <t>Samuel Kruppa:
Ziel gesamtvergütung, gemittelt nach den zwei Vorstandsmitgliedern, da es keinen CEO gibt, S.3</t>
        </r>
      </text>
    </comment>
    <comment ref="U52" authorId="1" shapeId="0" xr:uid="{2A20F73E-12E9-4C08-A0D7-90F63623E227}">
      <text>
        <r>
          <rPr>
            <sz val="11"/>
            <color theme="1"/>
            <rFont val="Aptos Narrow"/>
            <family val="2"/>
            <scheme val="minor"/>
          </rPr>
          <t>Samuel Kruppa:
Konzeption und Durchführung von Mitarbeiterschulungen im Bereich Code of Conduct, Korruptionsprävention und
AGG mit einer Abdeckungsquote von mindestens 95% der Belegschaft, ZE 50%</t>
        </r>
      </text>
    </comment>
    <comment ref="AD52" authorId="1" shapeId="0" xr:uid="{85BBBDAD-690D-4363-B8AA-031FE9ABC3D0}">
      <text>
        <r>
          <rPr>
            <sz val="11"/>
            <color theme="1"/>
            <rFont val="Aptos Narrow"/>
            <family val="2"/>
            <scheme val="minor"/>
          </rPr>
          <t>Samuel Kruppa:
Ziel gesamtvergütung, gemittelt nach den zwei Vorstandsmitgliedern, da es keinen CEO gibt, S.3</t>
        </r>
      </text>
    </comment>
    <comment ref="AE52" authorId="1" shapeId="0" xr:uid="{AF4CF1D9-318B-4792-A0E9-EA199C099B12}">
      <text>
        <r>
          <rPr>
            <sz val="11"/>
            <color theme="1"/>
            <rFont val="Aptos Narrow"/>
            <family val="2"/>
            <scheme val="minor"/>
          </rPr>
          <t>Samuel Kruppa:
langfristige ESG-Komponente (Z. B. Steigerung des MSCI ESG Ratings)</t>
        </r>
      </text>
    </comment>
    <comment ref="F53" authorId="1" shapeId="0" xr:uid="{B9DAC382-F443-43AD-AF9B-09A31C0FCCCD}">
      <text>
        <r>
          <rPr>
            <b/>
            <sz val="9"/>
            <color indexed="81"/>
            <rFont val="Segoe UI"/>
            <family val="2"/>
          </rPr>
          <t>Samuel Kruppa:</t>
        </r>
        <r>
          <rPr>
            <sz val="9"/>
            <color indexed="81"/>
            <rFont val="Segoe UI"/>
            <family val="2"/>
          </rPr>
          <t xml:space="preserve">
10% der STI und auch Teile eines Performance-Faktors</t>
        </r>
      </text>
    </comment>
    <comment ref="G53" authorId="1" shapeId="0" xr:uid="{57BA05B3-47C7-468C-8C62-A9DB7FB56591}">
      <text>
        <r>
          <rPr>
            <b/>
            <sz val="9"/>
            <color indexed="81"/>
            <rFont val="Segoe UI"/>
            <family val="2"/>
          </rPr>
          <t>Samuel Kruppa:</t>
        </r>
        <r>
          <rPr>
            <sz val="9"/>
            <color indexed="81"/>
            <rFont val="Segoe UI"/>
            <family val="2"/>
          </rPr>
          <t xml:space="preserve">
1 von 3 Unterpunkten des Performance Faktors sind ESG-Ziele und 10% der STI auch</t>
        </r>
      </text>
    </comment>
    <comment ref="M53" authorId="1" shapeId="0" xr:uid="{E6EB07B5-E833-403C-A4A5-BB8857981E2B}">
      <text>
        <r>
          <rPr>
            <b/>
            <sz val="9"/>
            <color indexed="81"/>
            <rFont val="Segoe UI"/>
          </rPr>
          <t>Samuel Kruppa:</t>
        </r>
        <r>
          <rPr>
            <sz val="9"/>
            <color indexed="81"/>
            <rFont val="Segoe UI"/>
          </rPr>
          <t xml:space="preserve">
Ziele aus dem Performance-Faktor, insgesamte ZE dieser ZE 120%</t>
        </r>
      </text>
    </comment>
    <comment ref="N53" authorId="1" shapeId="0" xr:uid="{BF3F74FB-5947-4CA9-836A-5387BCA6863E}">
      <text>
        <r>
          <rPr>
            <b/>
            <sz val="9"/>
            <color indexed="81"/>
            <rFont val="Segoe UI"/>
            <family val="2"/>
          </rPr>
          <t>Samuel Kruppa:</t>
        </r>
        <r>
          <rPr>
            <sz val="9"/>
            <color indexed="81"/>
            <rFont val="Segoe UI"/>
            <family val="2"/>
          </rPr>
          <t xml:space="preserve">
1/3 des Performance Faktors</t>
        </r>
      </text>
    </comment>
    <comment ref="R53" authorId="1" shapeId="0" xr:uid="{87748710-F383-4A39-9986-34AB0611B1EB}">
      <text>
        <r>
          <rPr>
            <b/>
            <sz val="9"/>
            <color indexed="81"/>
            <rFont val="Segoe UI"/>
            <family val="2"/>
          </rPr>
          <t>Samuel Kruppa:</t>
        </r>
        <r>
          <rPr>
            <sz val="9"/>
            <color indexed="81"/>
            <rFont val="Segoe UI"/>
            <family val="2"/>
          </rPr>
          <t xml:space="preserve">
Zielerreichung 150%</t>
        </r>
      </text>
    </comment>
    <comment ref="AI53" authorId="1" shapeId="0" xr:uid="{B733E3BE-83D8-411C-B706-D13ED005746F}">
      <text>
        <r>
          <rPr>
            <b/>
            <sz val="9"/>
            <color indexed="81"/>
            <rFont val="Segoe UI"/>
            <family val="2"/>
          </rPr>
          <t>Samuel Kruppa:</t>
        </r>
        <r>
          <rPr>
            <sz val="9"/>
            <color indexed="81"/>
            <rFont val="Segoe UI"/>
            <family val="2"/>
          </rPr>
          <t xml:space="preserve">
vorläufig, Tranche 2020, berechnet nach S.11</t>
        </r>
      </text>
    </comment>
    <comment ref="AL53" authorId="1" shapeId="0" xr:uid="{8DF1C552-846A-44C1-BCBF-CF6B3066BA89}">
      <text>
        <r>
          <rPr>
            <b/>
            <sz val="9"/>
            <color indexed="81"/>
            <rFont val="Segoe UI"/>
            <family val="2"/>
          </rPr>
          <t>Samuel Kruppa:</t>
        </r>
        <r>
          <rPr>
            <sz val="9"/>
            <color indexed="81"/>
            <rFont val="Segoe UI"/>
            <family val="2"/>
          </rPr>
          <t xml:space="preserve">
berechnet nach S.9</t>
        </r>
      </text>
    </comment>
    <comment ref="AN53" authorId="1" shapeId="0" xr:uid="{561ED608-EBDE-4592-AD5A-12FC2E7B964E}">
      <text>
        <r>
          <rPr>
            <b/>
            <sz val="9"/>
            <color indexed="81"/>
            <rFont val="Segoe UI"/>
            <family val="2"/>
          </rPr>
          <t>Samuel Kruppa:</t>
        </r>
        <r>
          <rPr>
            <sz val="9"/>
            <color indexed="81"/>
            <rFont val="Segoe UI"/>
            <family val="2"/>
          </rPr>
          <t xml:space="preserve">
berechnet nach S.9</t>
        </r>
      </text>
    </comment>
    <comment ref="AS53" authorId="1" shapeId="0" xr:uid="{885515CA-F8FA-41C5-895C-D6E19FEC3C4A}">
      <text>
        <r>
          <rPr>
            <b/>
            <sz val="9"/>
            <color indexed="81"/>
            <rFont val="Segoe UI"/>
            <family val="2"/>
          </rPr>
          <t>Samuel Kruppa:</t>
        </r>
        <r>
          <rPr>
            <sz val="9"/>
            <color indexed="81"/>
            <rFont val="Segoe UI"/>
            <family val="2"/>
          </rPr>
          <t xml:space="preserve">
1,33= 20*(0,2/3) berechnet nach S.9</t>
        </r>
      </text>
    </comment>
    <comment ref="D54" authorId="1" shapeId="0" xr:uid="{1E30F280-B502-45F3-8AC0-2774ACB9352D}">
      <text>
        <r>
          <rPr>
            <b/>
            <sz val="9"/>
            <color indexed="81"/>
            <rFont val="Segoe UI"/>
            <family val="2"/>
          </rPr>
          <t>Samuel Kruppa:</t>
        </r>
        <r>
          <rPr>
            <sz val="9"/>
            <color indexed="81"/>
            <rFont val="Segoe UI"/>
            <family val="2"/>
          </rPr>
          <t xml:space="preserve">
gewährte und geschuldete Vergütung 2023, CEO, S.22</t>
        </r>
      </text>
    </comment>
    <comment ref="I54" authorId="1" shapeId="0" xr:uid="{A3007512-52FB-4CE9-B731-D3D8ADCEACEA}">
      <text>
        <r>
          <rPr>
            <b/>
            <sz val="9"/>
            <color indexed="81"/>
            <rFont val="Segoe UI"/>
          </rPr>
          <t>Samuel Kruppa:</t>
        </r>
        <r>
          <rPr>
            <sz val="9"/>
            <color indexed="81"/>
            <rFont val="Segoe UI"/>
          </rPr>
          <t xml:space="preserve">
CEO, S.9</t>
        </r>
      </text>
    </comment>
    <comment ref="K54" authorId="1" shapeId="0" xr:uid="{9A5CA98C-1EC1-46C0-8029-FE44E75FAE9E}">
      <text>
        <r>
          <rPr>
            <b/>
            <sz val="9"/>
            <color indexed="81"/>
            <rFont val="Segoe UI"/>
          </rPr>
          <t>Samuel Kruppa:</t>
        </r>
        <r>
          <rPr>
            <sz val="9"/>
            <color indexed="81"/>
            <rFont val="Segoe UI"/>
          </rPr>
          <t xml:space="preserve">
Umsetzung der SBTi Initiative in allen Standorten und Investition von 1% des Umsatzes zur
Erreichung der SBTi Zele, ZE 100%</t>
        </r>
      </text>
    </comment>
    <comment ref="P54" authorId="1" shapeId="0" xr:uid="{F1AD8CA2-914F-4D9D-ADCF-125624812A82}">
      <text>
        <r>
          <rPr>
            <b/>
            <sz val="9"/>
            <color indexed="81"/>
            <rFont val="Segoe UI"/>
          </rPr>
          <t>Samuel Kruppa:</t>
        </r>
        <r>
          <rPr>
            <sz val="9"/>
            <color indexed="81"/>
            <rFont val="Segoe UI"/>
          </rPr>
          <t xml:space="preserve">
Durchführung einer Mitarbeiterumfrage bis Mitte 2023. Definition und Kommunikation der
daraus abzuleitenden Ziele für 2024f, ZE 100%</t>
        </r>
      </text>
    </comment>
    <comment ref="AD54" authorId="1" shapeId="0" xr:uid="{AC29EFB5-3FD3-4242-9486-D6E52F30F78C}">
      <text>
        <r>
          <rPr>
            <b/>
            <sz val="9"/>
            <color indexed="81"/>
            <rFont val="Segoe UI"/>
            <family val="2"/>
          </rPr>
          <t>Samuel Kruppa:</t>
        </r>
        <r>
          <rPr>
            <sz val="9"/>
            <color indexed="81"/>
            <rFont val="Segoe UI"/>
            <family val="2"/>
          </rPr>
          <t xml:space="preserve">
gewährte und geschuldete Vergütung 2023, CEO, S.22</t>
        </r>
      </text>
    </comment>
    <comment ref="AF54" authorId="1" shapeId="0" xr:uid="{C31CA843-2CBE-49C2-AFED-F6660BE7FCE1}">
      <text>
        <r>
          <rPr>
            <b/>
            <sz val="9"/>
            <color indexed="81"/>
            <rFont val="Segoe UI"/>
          </rPr>
          <t>Samuel Kruppa:</t>
        </r>
        <r>
          <rPr>
            <sz val="9"/>
            <color indexed="81"/>
            <rFont val="Segoe UI"/>
          </rPr>
          <t xml:space="preserve">
ESG-Faktor (0,9-1,0)</t>
        </r>
      </text>
    </comment>
    <comment ref="D55" authorId="1" shapeId="0" xr:uid="{F648EADE-76C1-4107-AE9D-AD8B8FC09488}">
      <text>
        <r>
          <rPr>
            <b/>
            <sz val="9"/>
            <color indexed="81"/>
            <rFont val="Segoe UI"/>
          </rPr>
          <t>Samuel Kruppa:</t>
        </r>
        <r>
          <rPr>
            <sz val="9"/>
            <color indexed="81"/>
            <rFont val="Segoe UI"/>
          </rPr>
          <t xml:space="preserve">
Zielgesamtvergütung 2023, CEO, S.14</t>
        </r>
      </text>
    </comment>
    <comment ref="F55" authorId="1" shapeId="0" xr:uid="{F747BDCB-22E2-4EE6-873C-AA770ABFD0A2}">
      <text>
        <r>
          <rPr>
            <b/>
            <sz val="9"/>
            <color indexed="81"/>
            <rFont val="Segoe UI"/>
            <family val="2"/>
          </rPr>
          <t>Samuel Kruppa:</t>
        </r>
        <r>
          <rPr>
            <sz val="9"/>
            <color indexed="81"/>
            <rFont val="Segoe UI"/>
            <family val="2"/>
          </rPr>
          <t xml:space="preserve">
ESG ist ein Teil des Modifiers für nichtfinanzielle Leistungskriterien (0,9-1,1)</t>
        </r>
      </text>
    </comment>
    <comment ref="G55" authorId="1" shapeId="0" xr:uid="{5B2F9E9E-D9E8-415C-951A-41419B849540}">
      <text>
        <r>
          <rPr>
            <b/>
            <sz val="9"/>
            <color indexed="81"/>
            <rFont val="Segoe UI"/>
          </rPr>
          <t>Samuel Kruppa:</t>
        </r>
        <r>
          <rPr>
            <sz val="9"/>
            <color indexed="81"/>
            <rFont val="Segoe UI"/>
          </rPr>
          <t xml:space="preserve">
gemittelt, 2 von 3 Zielen des Faktors sind ESG, S.7-8</t>
        </r>
      </text>
    </comment>
    <comment ref="I55" authorId="1" shapeId="0" xr:uid="{65D341CC-352D-475B-B5C4-A80349ADD1F6}">
      <text>
        <r>
          <rPr>
            <b/>
            <sz val="9"/>
            <color indexed="81"/>
            <rFont val="Segoe UI"/>
            <family val="2"/>
          </rPr>
          <t>Samuel Kruppa:</t>
        </r>
        <r>
          <rPr>
            <sz val="9"/>
            <color indexed="81"/>
            <rFont val="Segoe UI"/>
            <family val="2"/>
          </rPr>
          <t xml:space="preserve">
berechnet nach S.6-8</t>
        </r>
      </text>
    </comment>
    <comment ref="K55" authorId="1" shapeId="0" xr:uid="{B3B1FFD9-2F67-4A50-A896-5F6CD36C358A}">
      <text>
        <r>
          <rPr>
            <b/>
            <sz val="9"/>
            <color indexed="81"/>
            <rFont val="Segoe UI"/>
          </rPr>
          <t>Samuel Kruppa:</t>
        </r>
        <r>
          <rPr>
            <sz val="9"/>
            <color indexed="81"/>
            <rFont val="Segoe UI"/>
          </rPr>
          <t xml:space="preserve">
Vorantreiben Masterplan Dekarbonisierung Konzern, ZE 110%</t>
        </r>
      </text>
    </comment>
    <comment ref="L55" authorId="1" shapeId="0" xr:uid="{FB8F9A5B-14F7-4E3C-9888-A40013EADFD0}">
      <text>
        <r>
          <rPr>
            <b/>
            <sz val="9"/>
            <color indexed="81"/>
            <rFont val="Segoe UI"/>
            <family val="2"/>
          </rPr>
          <t>Samuel Kruppa:</t>
        </r>
        <r>
          <rPr>
            <sz val="9"/>
            <color indexed="81"/>
            <rFont val="Segoe UI"/>
            <family val="2"/>
          </rPr>
          <t xml:space="preserve">
1/3 der Ziele des Multipliers</t>
        </r>
      </text>
    </comment>
    <comment ref="M55" authorId="1" shapeId="0" xr:uid="{1551483A-1EB1-4976-9ADA-BB63457A10C5}">
      <text>
        <r>
          <rPr>
            <b/>
            <sz val="9"/>
            <color indexed="81"/>
            <rFont val="Segoe UI"/>
          </rPr>
          <t>Samuel Kruppa:</t>
        </r>
        <r>
          <rPr>
            <sz val="9"/>
            <color indexed="81"/>
            <rFont val="Segoe UI"/>
          </rPr>
          <t xml:space="preserve">
ZE 110%</t>
        </r>
      </text>
    </comment>
    <comment ref="N55" authorId="1" shapeId="0" xr:uid="{AFD0260A-8A95-45ED-9551-A35C7B646DB0}">
      <text>
        <r>
          <rPr>
            <b/>
            <sz val="9"/>
            <color indexed="81"/>
            <rFont val="Segoe UI"/>
            <family val="2"/>
          </rPr>
          <t>Samuel Kruppa:</t>
        </r>
        <r>
          <rPr>
            <sz val="9"/>
            <color indexed="81"/>
            <rFont val="Segoe UI"/>
            <family val="2"/>
          </rPr>
          <t xml:space="preserve">
1/3 der Ziele des Multipliers</t>
        </r>
      </text>
    </comment>
    <comment ref="AD55" authorId="1" shapeId="0" xr:uid="{E09E7D27-F1BB-4DA2-A12C-069136E00525}">
      <text>
        <r>
          <rPr>
            <b/>
            <sz val="9"/>
            <color indexed="81"/>
            <rFont val="Segoe UI"/>
          </rPr>
          <t>Samuel Kruppa:</t>
        </r>
        <r>
          <rPr>
            <sz val="9"/>
            <color indexed="81"/>
            <rFont val="Segoe UI"/>
          </rPr>
          <t xml:space="preserve">
Zielgesamtvergütung 2023, CEO, S.14</t>
        </r>
      </text>
    </comment>
    <comment ref="AI55" authorId="1" shapeId="0" xr:uid="{793C060D-5492-4614-91EE-BFED219D331E}">
      <text>
        <r>
          <rPr>
            <b/>
            <sz val="9"/>
            <color indexed="81"/>
            <rFont val="Segoe UI"/>
            <family val="2"/>
          </rPr>
          <t>Samuel Kruppa:</t>
        </r>
        <r>
          <rPr>
            <sz val="9"/>
            <color indexed="81"/>
            <rFont val="Segoe UI"/>
            <family val="2"/>
          </rPr>
          <t xml:space="preserve">
Tranche 2020: Für das Geschäftsjahr 2020 wurde vom Vorstand auf die Zuteilung der PSP Tranche 2020 verzichtet. Grund hierfür waren die von der Bundesrepublik Deutschland und dem Land Hessen gewährten Unterstützungsleistungen für den Ausgleich entstandener ungedeckter Vorhaltekosten des Frankfurter Flughafens während des ersten Lockdowns 2020. Voraussetzung für die Bewilligung dieser Unterstützungsleistung war, dass der Vorstand für das Geschäftsjahr 2020 keine Boni, Sonderzahlungen in Form von Aktienpaketen oder andere gesonderte Vergütungen (Gratifikationen) neben dem Fixum gezahlt bekommt. Dieses betraf auch die Zuteilung variabler Vergütungsbestandteile für das Geschäftsjahr 2020. Die Zuteilungswerte für die PSP Tranche 2020 betra-gen damit für alle Vorstandsmitglieder 0 €.</t>
        </r>
      </text>
    </comment>
    <comment ref="D56" authorId="1" shapeId="0" xr:uid="{C154F831-49E8-4A26-B5FC-C787FC49D4BE}">
      <text>
        <r>
          <rPr>
            <b/>
            <sz val="9"/>
            <color indexed="81"/>
            <rFont val="Segoe UI"/>
          </rPr>
          <t>Samuel Kruppa:</t>
        </r>
        <r>
          <rPr>
            <sz val="9"/>
            <color indexed="81"/>
            <rFont val="Segoe UI"/>
          </rPr>
          <t xml:space="preserve">
wirkliche Vergütung 2023, CEO, S.13</t>
        </r>
      </text>
    </comment>
    <comment ref="R56" authorId="1" shapeId="0" xr:uid="{BE9D6C92-4AFE-4979-977B-50061E2C8DA3}">
      <text>
        <r>
          <rPr>
            <b/>
            <sz val="9"/>
            <color indexed="81"/>
            <rFont val="Segoe UI"/>
            <family val="2"/>
          </rPr>
          <t>Samuel Kruppa:</t>
        </r>
        <r>
          <rPr>
            <sz val="9"/>
            <color indexed="81"/>
            <rFont val="Segoe UI"/>
            <family val="2"/>
          </rPr>
          <t xml:space="preserve">
Zielerreichung 146,5%</t>
        </r>
      </text>
    </comment>
    <comment ref="AD56" authorId="1" shapeId="0" xr:uid="{E9950069-22F6-4348-B8FE-E044D5E78088}">
      <text>
        <r>
          <rPr>
            <b/>
            <sz val="9"/>
            <color indexed="81"/>
            <rFont val="Segoe UI"/>
          </rPr>
          <t>Samuel Kruppa:</t>
        </r>
        <r>
          <rPr>
            <sz val="9"/>
            <color indexed="81"/>
            <rFont val="Segoe UI"/>
          </rPr>
          <t xml:space="preserve">
wirkliche Vergütung 2023, CEO, S.13</t>
        </r>
      </text>
    </comment>
    <comment ref="AE56" authorId="1" shapeId="0" xr:uid="{E594735A-B80A-451C-BB61-50F261B711DC}">
      <text>
        <r>
          <rPr>
            <b/>
            <sz val="9"/>
            <color indexed="81"/>
            <rFont val="Segoe UI"/>
            <family val="2"/>
          </rPr>
          <t>Samuel Kruppa:</t>
        </r>
        <r>
          <rPr>
            <sz val="9"/>
            <color indexed="81"/>
            <rFont val="Segoe UI"/>
            <family val="2"/>
          </rPr>
          <t xml:space="preserve">
Die ESG-Ziele wurden noch nicht definiert, es werden nur mögliche Beispiele angegeben</t>
        </r>
      </text>
    </comment>
    <comment ref="AF56" authorId="1" shapeId="0" xr:uid="{845411F7-C825-46E6-A1E0-D34D8305F669}">
      <text>
        <r>
          <rPr>
            <b/>
            <sz val="9"/>
            <color indexed="81"/>
            <rFont val="Segoe UI"/>
            <family val="2"/>
          </rPr>
          <t>Samuel Kruppa:</t>
        </r>
        <r>
          <rPr>
            <sz val="9"/>
            <color indexed="81"/>
            <rFont val="Segoe UI"/>
            <family val="2"/>
          </rPr>
          <t xml:space="preserve">
Die ESG-Ziele wurden noch nicht definiert, es werden nur mögliche Beispiele angegeben</t>
        </r>
      </text>
    </comment>
    <comment ref="AI56" authorId="1" shapeId="0" xr:uid="{AD8992FC-91B5-4E72-90A7-527FD4CD074A}">
      <text>
        <r>
          <rPr>
            <b/>
            <sz val="9"/>
            <color indexed="81"/>
            <rFont val="Segoe UI"/>
            <family val="2"/>
          </rPr>
          <t>Samuel Kruppa:</t>
        </r>
        <r>
          <rPr>
            <sz val="9"/>
            <color indexed="81"/>
            <rFont val="Segoe UI"/>
            <family val="2"/>
          </rPr>
          <t xml:space="preserve">
Tranche 2018</t>
        </r>
      </text>
    </comment>
    <comment ref="AJ56" authorId="1" shapeId="0" xr:uid="{154A8F72-329E-4991-B3C7-F76E524DC713}">
      <text>
        <r>
          <rPr>
            <b/>
            <sz val="9"/>
            <color indexed="81"/>
            <rFont val="Segoe UI"/>
            <family val="2"/>
          </rPr>
          <t>Samuel Kruppa:</t>
        </r>
        <r>
          <rPr>
            <sz val="9"/>
            <color indexed="81"/>
            <rFont val="Segoe UI"/>
            <family val="2"/>
          </rPr>
          <t xml:space="preserve">
Die ESG-Ziele wurden noch nicht definiert, es werden nur mögliche Beispiele angegeben</t>
        </r>
      </text>
    </comment>
    <comment ref="AO56" authorId="1" shapeId="0" xr:uid="{8D0F9928-6ECB-4D95-98DF-65E049793451}">
      <text>
        <r>
          <rPr>
            <b/>
            <sz val="9"/>
            <color indexed="81"/>
            <rFont val="Segoe UI"/>
            <family val="2"/>
          </rPr>
          <t>Samuel Kruppa:</t>
        </r>
        <r>
          <rPr>
            <sz val="9"/>
            <color indexed="81"/>
            <rFont val="Segoe UI"/>
            <family val="2"/>
          </rPr>
          <t xml:space="preserve">
Die ESG-Ziele wurden noch nicht definiert, es werden nur mögliche Beispiele angegeben</t>
        </r>
      </text>
    </comment>
    <comment ref="AT56" authorId="1" shapeId="0" xr:uid="{FE4588F6-7CFE-42CC-BC04-F40196CD71F3}">
      <text>
        <r>
          <rPr>
            <b/>
            <sz val="9"/>
            <color indexed="81"/>
            <rFont val="Segoe UI"/>
            <family val="2"/>
          </rPr>
          <t>Samuel Kruppa:</t>
        </r>
        <r>
          <rPr>
            <sz val="9"/>
            <color indexed="81"/>
            <rFont val="Segoe UI"/>
            <family val="2"/>
          </rPr>
          <t xml:space="preserve">
Die ESG-Ziele wurden noch nicht definiert, es werden nur mögliche Beispiele angegeben</t>
        </r>
      </text>
    </comment>
    <comment ref="M57" authorId="1" shapeId="0" xr:uid="{BF8E942B-B301-4C27-9887-2D5F522DB4F6}">
      <text>
        <r>
          <rPr>
            <b/>
            <sz val="9"/>
            <color indexed="81"/>
            <rFont val="Segoe UI"/>
            <family val="2"/>
          </rPr>
          <t>Samuel Kruppa:</t>
        </r>
        <r>
          <rPr>
            <sz val="9"/>
            <color indexed="81"/>
            <rFont val="Segoe UI"/>
            <family val="2"/>
          </rPr>
          <t xml:space="preserve">
Zielerreichung 120%</t>
        </r>
      </text>
    </comment>
    <comment ref="P57" authorId="1" shapeId="0" xr:uid="{652D3874-12F3-4868-B642-FB4F17D920C2}">
      <text>
        <r>
          <rPr>
            <b/>
            <sz val="9"/>
            <color indexed="81"/>
            <rFont val="Segoe UI"/>
            <family val="2"/>
          </rPr>
          <t>Samuel Kruppa:</t>
        </r>
        <r>
          <rPr>
            <sz val="9"/>
            <color indexed="81"/>
            <rFont val="Segoe UI"/>
            <family val="2"/>
          </rPr>
          <t xml:space="preserve">
Zielerreichung 100%</t>
        </r>
      </text>
    </comment>
    <comment ref="R57" authorId="1" shapeId="0" xr:uid="{110BF878-0E12-431F-80D5-9A2D1D2917C9}">
      <text>
        <r>
          <rPr>
            <b/>
            <sz val="9"/>
            <color indexed="81"/>
            <rFont val="Segoe UI"/>
            <family val="2"/>
          </rPr>
          <t>Samuel Kruppa:</t>
        </r>
        <r>
          <rPr>
            <sz val="9"/>
            <color indexed="81"/>
            <rFont val="Segoe UI"/>
            <family val="2"/>
          </rPr>
          <t xml:space="preserve">
Zielerreichung 120%</t>
        </r>
      </text>
    </comment>
    <comment ref="AI57" authorId="1" shapeId="0" xr:uid="{0E8453C3-FC8C-4755-B810-1EA9989F0D92}">
      <text>
        <r>
          <rPr>
            <b/>
            <sz val="9"/>
            <color indexed="81"/>
            <rFont val="Segoe UI"/>
            <family val="2"/>
          </rPr>
          <t>Samuel Kruppa:</t>
        </r>
        <r>
          <rPr>
            <sz val="9"/>
            <color indexed="81"/>
            <rFont val="Segoe UI"/>
            <family val="2"/>
          </rPr>
          <t xml:space="preserve">
Zuteilung 2020</t>
        </r>
      </text>
    </comment>
    <comment ref="F58" authorId="1" shapeId="0" xr:uid="{4EF19998-A6E9-405D-BC0B-40021EA3960B}">
      <text>
        <r>
          <rPr>
            <b/>
            <sz val="9"/>
            <color indexed="81"/>
            <rFont val="Segoe UI"/>
            <family val="2"/>
          </rPr>
          <t>Samuel Kruppa:</t>
        </r>
        <r>
          <rPr>
            <sz val="9"/>
            <color indexed="81"/>
            <rFont val="Segoe UI"/>
            <family val="2"/>
          </rPr>
          <t xml:space="preserve">
Nachhaltigkeits Faktor (0.75 - 1.25)</t>
        </r>
      </text>
    </comment>
    <comment ref="K58" authorId="1" shapeId="0" xr:uid="{06C4FCB0-A687-4010-A524-5B27C25D885F}">
      <text>
        <r>
          <rPr>
            <b/>
            <sz val="9"/>
            <color indexed="81"/>
            <rFont val="Segoe UI"/>
            <family val="2"/>
          </rPr>
          <t>Samuel Kruppa:</t>
        </r>
        <r>
          <rPr>
            <sz val="9"/>
            <color indexed="81"/>
            <rFont val="Segoe UI"/>
            <family val="2"/>
          </rPr>
          <t xml:space="preserve">
Scope 1 bis 3 Ziele im Rahmen der Ziele für 2025 (Cradle-to-Gate CO2 neutrale
Produkte) und 2040 (Cradle-to-Grave-Scope)</t>
        </r>
      </text>
    </comment>
    <comment ref="U58" authorId="1" shapeId="0" xr:uid="{26897AFD-BEC8-4F70-85BE-8D294098BC6B}">
      <text>
        <r>
          <rPr>
            <b/>
            <sz val="9"/>
            <color indexed="81"/>
            <rFont val="Segoe UI"/>
            <family val="2"/>
          </rPr>
          <t>Samuel Kruppa:</t>
        </r>
        <r>
          <rPr>
            <sz val="9"/>
            <color indexed="81"/>
            <rFont val="Segoe UI"/>
            <family val="2"/>
          </rPr>
          <t xml:space="preserve">
</t>
        </r>
      </text>
    </comment>
    <comment ref="Y58" authorId="1" shapeId="0" xr:uid="{A46B9E68-6AD0-4F2E-9D7B-A934C4D0E52F}">
      <text>
        <r>
          <rPr>
            <b/>
            <sz val="9"/>
            <color indexed="81"/>
            <rFont val="Segoe UI"/>
            <family val="2"/>
          </rPr>
          <t>Samuel Kruppa:</t>
        </r>
        <r>
          <rPr>
            <sz val="9"/>
            <color indexed="81"/>
            <rFont val="Segoe UI"/>
            <family val="2"/>
          </rPr>
          <t xml:space="preserve">
berechent nach S.6</t>
        </r>
      </text>
    </comment>
    <comment ref="AF58" authorId="1" shapeId="0" xr:uid="{DCE75901-D94A-4C05-A756-3B5B1CB8FDFA}">
      <text>
        <r>
          <rPr>
            <b/>
            <sz val="9"/>
            <color indexed="81"/>
            <rFont val="Segoe UI"/>
            <family val="2"/>
          </rPr>
          <t>Samuel Kruppa:</t>
        </r>
        <r>
          <rPr>
            <sz val="9"/>
            <color indexed="81"/>
            <rFont val="Segoe UI"/>
            <family val="2"/>
          </rPr>
          <t xml:space="preserve">
Nachhaltigkeits Faktor (0.75 - 1.25)</t>
        </r>
      </text>
    </comment>
    <comment ref="AK58" authorId="1" shapeId="0" xr:uid="{74B0E6FD-2C19-458D-B557-01A543B37B1B}">
      <text>
        <r>
          <rPr>
            <b/>
            <sz val="9"/>
            <color indexed="81"/>
            <rFont val="Segoe UI"/>
            <family val="2"/>
          </rPr>
          <t>Samuel Kruppa:</t>
        </r>
        <r>
          <rPr>
            <sz val="9"/>
            <color indexed="81"/>
            <rFont val="Segoe UI"/>
            <family val="2"/>
          </rPr>
          <t xml:space="preserve">
Scope 1 bis 3 Ziele im Rahmen der Ziele für 2025 (Cradle-to-Gate CO2 neutrale
Produkte) und 2040 (Cradle-to-Grave-Scope)</t>
        </r>
      </text>
    </comment>
    <comment ref="AU58" authorId="1" shapeId="0" xr:uid="{0BB0A283-C1A4-4C68-A523-09CE2003DAC4}">
      <text>
        <r>
          <rPr>
            <b/>
            <sz val="9"/>
            <color indexed="81"/>
            <rFont val="Segoe UI"/>
            <family val="2"/>
          </rPr>
          <t>Samuel Kruppa:</t>
        </r>
        <r>
          <rPr>
            <sz val="9"/>
            <color indexed="81"/>
            <rFont val="Segoe UI"/>
            <family val="2"/>
          </rPr>
          <t xml:space="preserve">
</t>
        </r>
      </text>
    </comment>
    <comment ref="AY58" authorId="1" shapeId="0" xr:uid="{2A0E604E-447B-4250-A2BA-255A4EE39E71}">
      <text>
        <r>
          <rPr>
            <b/>
            <sz val="9"/>
            <color indexed="81"/>
            <rFont val="Segoe UI"/>
            <family val="2"/>
          </rPr>
          <t>Samuel Kruppa:</t>
        </r>
        <r>
          <rPr>
            <sz val="9"/>
            <color indexed="81"/>
            <rFont val="Segoe UI"/>
            <family val="2"/>
          </rPr>
          <t xml:space="preserve">
berechent nach S.6</t>
        </r>
      </text>
    </comment>
    <comment ref="D59" authorId="1" shapeId="0" xr:uid="{3977AD7F-0B79-43B8-AEE1-9D2DE65BFB45}">
      <text>
        <r>
          <rPr>
            <b/>
            <sz val="9"/>
            <color indexed="81"/>
            <rFont val="Segoe UI"/>
            <family val="2"/>
          </rPr>
          <t>Samuel Kruppa:</t>
        </r>
        <r>
          <rPr>
            <sz val="9"/>
            <color indexed="81"/>
            <rFont val="Segoe UI"/>
            <family val="2"/>
          </rPr>
          <t xml:space="preserve">
nach S.280 gemittelt</t>
        </r>
      </text>
    </comment>
    <comment ref="F59" authorId="1" shapeId="0" xr:uid="{ECDFF898-9B9D-44A6-BF58-F4616FCB5869}">
      <text>
        <r>
          <rPr>
            <b/>
            <sz val="9"/>
            <color indexed="81"/>
            <rFont val="Segoe UI"/>
            <family val="2"/>
          </rPr>
          <t>Samuel Kruppa:</t>
        </r>
        <r>
          <rPr>
            <sz val="9"/>
            <color indexed="81"/>
            <rFont val="Segoe UI"/>
            <family val="2"/>
          </rPr>
          <t xml:space="preserve">
Es gibt einen Modifier (0.8-1.2), davon ist 1 von 3 Zielen ein ESG Ziel</t>
        </r>
      </text>
    </comment>
    <comment ref="G59" authorId="1" shapeId="0" xr:uid="{BA82A3FA-9E47-4CDE-83B5-A84E2982C737}">
      <text>
        <r>
          <rPr>
            <b/>
            <sz val="9"/>
            <color indexed="81"/>
            <rFont val="Segoe UI"/>
          </rPr>
          <t>Samuel Kruppa:</t>
        </r>
        <r>
          <rPr>
            <sz val="9"/>
            <color indexed="81"/>
            <rFont val="Segoe UI"/>
          </rPr>
          <t xml:space="preserve">
gemittelt nach S,286</t>
        </r>
      </text>
    </comment>
    <comment ref="AD59" authorId="1" shapeId="0" xr:uid="{7CAF4CA0-18F2-418C-ABF8-BBD6A80E97D4}">
      <text>
        <r>
          <rPr>
            <b/>
            <sz val="9"/>
            <color indexed="81"/>
            <rFont val="Segoe UI"/>
            <family val="2"/>
          </rPr>
          <t>Samuel Kruppa:</t>
        </r>
        <r>
          <rPr>
            <sz val="9"/>
            <color indexed="81"/>
            <rFont val="Segoe UI"/>
            <family val="2"/>
          </rPr>
          <t xml:space="preserve">
nach S.280 gemittelt</t>
        </r>
      </text>
    </comment>
    <comment ref="AK59" authorId="1" shapeId="0" xr:uid="{DF284B1E-EB95-4551-8040-89A8263C3DED}">
      <text>
        <r>
          <rPr>
            <b/>
            <sz val="9"/>
            <color indexed="81"/>
            <rFont val="Segoe UI"/>
            <family val="2"/>
          </rPr>
          <t>Samuel Kruppa:</t>
        </r>
        <r>
          <rPr>
            <sz val="9"/>
            <color indexed="81"/>
            <rFont val="Segoe UI"/>
            <family val="2"/>
          </rPr>
          <t xml:space="preserve">
Es gibt ein Ziel Reduzierung der Treibhausgas Emissionen Scope 1 und 2 und ein gesondertes Ziel für Scope 3. Beide Ziele haben je 10% Gewichtung</t>
        </r>
      </text>
    </comment>
    <comment ref="D60" authorId="1" shapeId="0" xr:uid="{60321FA9-ABCE-48F2-A2FE-C347BF22839A}">
      <text>
        <r>
          <rPr>
            <b/>
            <sz val="9"/>
            <color indexed="81"/>
            <rFont val="Segoe UI"/>
            <family val="2"/>
          </rPr>
          <t>Samuel Kruppa:</t>
        </r>
        <r>
          <rPr>
            <sz val="9"/>
            <color indexed="81"/>
            <rFont val="Segoe UI"/>
            <family val="2"/>
          </rPr>
          <t xml:space="preserve">
erdiente Vergütung 2023, CEO, S.9</t>
        </r>
      </text>
    </comment>
    <comment ref="F60" authorId="1" shapeId="0" xr:uid="{D30D9AAC-BAC8-414C-8027-607BF698AA5E}">
      <text>
        <r>
          <rPr>
            <b/>
            <sz val="9"/>
            <color indexed="81"/>
            <rFont val="Segoe UI"/>
            <family val="2"/>
          </rPr>
          <t>Samuel Kruppa:</t>
        </r>
        <r>
          <rPr>
            <sz val="9"/>
            <color indexed="81"/>
            <rFont val="Segoe UI"/>
            <family val="2"/>
          </rPr>
          <t xml:space="preserve">
ESG-Multiplikator (0,8 - 1,2)</t>
        </r>
      </text>
    </comment>
    <comment ref="M60" authorId="1" shapeId="0" xr:uid="{41F11C6C-0064-42B4-A6B0-284BC4D6BFD8}">
      <text>
        <r>
          <rPr>
            <b/>
            <sz val="9"/>
            <color indexed="81"/>
            <rFont val="Segoe UI"/>
            <family val="2"/>
          </rPr>
          <t>Samuel Kruppa:</t>
        </r>
        <r>
          <rPr>
            <sz val="9"/>
            <color indexed="81"/>
            <rFont val="Segoe UI"/>
            <family val="2"/>
          </rPr>
          <t xml:space="preserve">
Zielerreichung 114%</t>
        </r>
      </text>
    </comment>
    <comment ref="N60" authorId="1" shapeId="0" xr:uid="{A7207D8F-1860-4184-B1B9-75FD5B07EE7F}">
      <text>
        <r>
          <rPr>
            <b/>
            <sz val="9"/>
            <color indexed="81"/>
            <rFont val="Segoe UI"/>
            <family val="2"/>
          </rPr>
          <t>Samuel Kruppa:</t>
        </r>
        <r>
          <rPr>
            <sz val="9"/>
            <color indexed="81"/>
            <rFont val="Segoe UI"/>
            <family val="2"/>
          </rPr>
          <t xml:space="preserve">
1/3 des ESG-Faktors</t>
        </r>
      </text>
    </comment>
    <comment ref="R60" authorId="1" shapeId="0" xr:uid="{065BD1BC-0D21-4F48-B84A-AE8EE532A6C7}">
      <text>
        <r>
          <rPr>
            <b/>
            <sz val="9"/>
            <color indexed="81"/>
            <rFont val="Segoe UI"/>
            <family val="2"/>
          </rPr>
          <t>Samuel Kruppa:</t>
        </r>
        <r>
          <rPr>
            <sz val="9"/>
            <color indexed="81"/>
            <rFont val="Segoe UI"/>
            <family val="2"/>
          </rPr>
          <t xml:space="preserve">
Zielerreichung 130,5%; 101,1%</t>
        </r>
      </text>
    </comment>
    <comment ref="S60" authorId="1" shapeId="0" xr:uid="{9BF48837-9236-4698-8BBB-A60E9B5F15D7}">
      <text>
        <r>
          <rPr>
            <b/>
            <sz val="9"/>
            <color indexed="81"/>
            <rFont val="Segoe UI"/>
            <family val="2"/>
          </rPr>
          <t>Samuel Kruppa:</t>
        </r>
        <r>
          <rPr>
            <sz val="9"/>
            <color indexed="81"/>
            <rFont val="Segoe UI"/>
            <family val="2"/>
          </rPr>
          <t xml:space="preserve">
beide je 1/6 des ESG-Faktors</t>
        </r>
      </text>
    </comment>
    <comment ref="W60" authorId="1" shapeId="0" xr:uid="{F70674B3-834F-4597-BFA1-F373498A9723}">
      <text>
        <r>
          <rPr>
            <b/>
            <sz val="9"/>
            <color indexed="81"/>
            <rFont val="Segoe UI"/>
            <family val="2"/>
          </rPr>
          <t>Samuel Kruppa:</t>
        </r>
        <r>
          <rPr>
            <sz val="9"/>
            <color indexed="81"/>
            <rFont val="Segoe UI"/>
            <family val="2"/>
          </rPr>
          <t xml:space="preserve">
Zielerreichung: 111,3%</t>
        </r>
      </text>
    </comment>
    <comment ref="X60" authorId="1" shapeId="0" xr:uid="{854C14A6-A155-429E-86F9-E8CFE0698C8E}">
      <text>
        <r>
          <rPr>
            <b/>
            <sz val="9"/>
            <color indexed="81"/>
            <rFont val="Segoe UI"/>
            <family val="2"/>
          </rPr>
          <t>Samuel Kruppa:</t>
        </r>
        <r>
          <rPr>
            <sz val="9"/>
            <color indexed="81"/>
            <rFont val="Segoe UI"/>
            <family val="2"/>
          </rPr>
          <t xml:space="preserve">
1/3 des ESG-Faktors</t>
        </r>
      </text>
    </comment>
    <comment ref="AD60" authorId="1" shapeId="0" xr:uid="{030281FD-094D-495E-8E55-CF7523118B63}">
      <text>
        <r>
          <rPr>
            <b/>
            <sz val="9"/>
            <color indexed="81"/>
            <rFont val="Segoe UI"/>
            <family val="2"/>
          </rPr>
          <t>Samuel Kruppa:</t>
        </r>
        <r>
          <rPr>
            <sz val="9"/>
            <color indexed="81"/>
            <rFont val="Segoe UI"/>
            <family val="2"/>
          </rPr>
          <t xml:space="preserve">
erdiente Vergütung 2023, CEO, S.9</t>
        </r>
      </text>
    </comment>
    <comment ref="AI60" authorId="1" shapeId="0" xr:uid="{F55F867C-DEA1-4DD3-AFF2-728432237711}">
      <text>
        <r>
          <rPr>
            <b/>
            <sz val="9"/>
            <color indexed="81"/>
            <rFont val="Segoe UI"/>
            <family val="2"/>
          </rPr>
          <t>Samuel Kruppa:</t>
        </r>
        <r>
          <rPr>
            <sz val="9"/>
            <color indexed="81"/>
            <rFont val="Segoe UI"/>
            <family val="2"/>
          </rPr>
          <t xml:space="preserve">
berechnet nach S.7</t>
        </r>
      </text>
    </comment>
    <comment ref="I61" authorId="1" shapeId="0" xr:uid="{79626203-9833-415D-BEC6-2112D6714BC9}">
      <text>
        <r>
          <rPr>
            <b/>
            <sz val="9"/>
            <color indexed="81"/>
            <rFont val="Segoe UI"/>
          </rPr>
          <t>Samuel Kruppa:</t>
        </r>
        <r>
          <rPr>
            <sz val="9"/>
            <color indexed="81"/>
            <rFont val="Segoe UI"/>
          </rPr>
          <t xml:space="preserve">
CEO</t>
        </r>
      </text>
    </comment>
    <comment ref="M61" authorId="1" shapeId="0" xr:uid="{9B36269A-7E68-4DD9-BFB7-D770F2734980}">
      <text>
        <r>
          <rPr>
            <b/>
            <sz val="9"/>
            <color indexed="81"/>
            <rFont val="Segoe UI"/>
          </rPr>
          <t>Samuel Kruppa:</t>
        </r>
        <r>
          <rPr>
            <sz val="9"/>
            <color indexed="81"/>
            <rFont val="Segoe UI"/>
          </rPr>
          <t xml:space="preserve">
ZE insgesamt ESG 150%</t>
        </r>
      </text>
    </comment>
    <comment ref="N61" authorId="1" shapeId="0" xr:uid="{EC96BC3A-A823-4200-AECE-4EDB9E4E8F62}">
      <text>
        <r>
          <rPr>
            <b/>
            <sz val="9"/>
            <color indexed="81"/>
            <rFont val="Segoe UI"/>
          </rPr>
          <t>Samuel Kruppa:</t>
        </r>
        <r>
          <rPr>
            <sz val="9"/>
            <color indexed="81"/>
            <rFont val="Segoe UI"/>
          </rPr>
          <t xml:space="preserve">
gemitellt nach S.10</t>
        </r>
      </text>
    </comment>
    <comment ref="R61" authorId="1" shapeId="0" xr:uid="{1A9BDB04-F52F-4D88-9094-A64F73527740}">
      <text>
        <r>
          <rPr>
            <b/>
            <sz val="9"/>
            <color indexed="81"/>
            <rFont val="Segoe UI"/>
          </rPr>
          <t>Samuel Kruppa:</t>
        </r>
        <r>
          <rPr>
            <sz val="9"/>
            <color indexed="81"/>
            <rFont val="Segoe UI"/>
          </rPr>
          <t xml:space="preserve">
ZE insgesamt ESG 150%</t>
        </r>
      </text>
    </comment>
    <comment ref="S61" authorId="1" shapeId="0" xr:uid="{C2550A73-04F1-490E-A486-113896BAD945}">
      <text>
        <r>
          <rPr>
            <b/>
            <sz val="9"/>
            <color indexed="81"/>
            <rFont val="Segoe UI"/>
          </rPr>
          <t>Samuel Kruppa:</t>
        </r>
        <r>
          <rPr>
            <sz val="9"/>
            <color indexed="81"/>
            <rFont val="Segoe UI"/>
          </rPr>
          <t xml:space="preserve">
gemitellt nach S.10</t>
        </r>
      </text>
    </comment>
    <comment ref="AK61" authorId="1" shapeId="0" xr:uid="{2997CFEC-80D8-4C90-AF0A-49802E0208ED}">
      <text>
        <r>
          <rPr>
            <b/>
            <sz val="9"/>
            <color indexed="81"/>
            <rFont val="Segoe UI"/>
          </rPr>
          <t>Samuel Kruppa:</t>
        </r>
        <r>
          <rPr>
            <sz val="9"/>
            <color indexed="81"/>
            <rFont val="Segoe UI"/>
          </rPr>
          <t xml:space="preserve">
CO2 Reduktion</t>
        </r>
      </text>
    </comment>
    <comment ref="D62" authorId="1" shapeId="0" xr:uid="{7E51E743-1F5E-48F6-9100-4F934A2A02FC}">
      <text>
        <r>
          <rPr>
            <b/>
            <sz val="9"/>
            <color indexed="81"/>
            <rFont val="Segoe UI"/>
            <family val="2"/>
          </rPr>
          <t>Samuel Kruppa:</t>
        </r>
        <r>
          <rPr>
            <sz val="9"/>
            <color indexed="81"/>
            <rFont val="Segoe UI"/>
            <family val="2"/>
          </rPr>
          <t xml:space="preserve">
CEO berechnet nach S.12</t>
        </r>
      </text>
    </comment>
    <comment ref="I62" authorId="1" shapeId="0" xr:uid="{6E6B2B8A-84DD-4554-A634-6DBC4214A845}">
      <text>
        <r>
          <rPr>
            <b/>
            <sz val="9"/>
            <color indexed="81"/>
            <rFont val="Segoe UI"/>
            <family val="2"/>
          </rPr>
          <t>Samuel Kruppa:</t>
        </r>
        <r>
          <rPr>
            <sz val="9"/>
            <color indexed="81"/>
            <rFont val="Segoe UI"/>
            <family val="2"/>
          </rPr>
          <t xml:space="preserve">
Die Anzahl der zu gewährenden RSUs wird ermittelt, indem der Teilbetrag des Gesamtzuteilungsbetrags, der auf die RSUs entfällt, durch den Wert einer Aktie der Gesellschaft am Gewährungstag, der im jeweiligen typischerweise jährlichen Gewährungsvertrag festgelegt wird („Gewährungstag“), geteilt und auf die nächste ganze Zahl abgerundet wird. Demnach keine berechnete Zielerreichung und kein Cap.</t>
        </r>
      </text>
    </comment>
    <comment ref="Y62" authorId="1" shapeId="0" xr:uid="{593D3BA1-E841-4D3A-8529-C3D4B3967DFC}">
      <text>
        <r>
          <rPr>
            <b/>
            <sz val="9"/>
            <color indexed="81"/>
            <rFont val="Segoe UI"/>
            <family val="2"/>
          </rPr>
          <t>Samuel Kruppa:</t>
        </r>
        <r>
          <rPr>
            <sz val="9"/>
            <color indexed="81"/>
            <rFont val="Segoe UI"/>
            <family val="2"/>
          </rPr>
          <t xml:space="preserve">
Die Anzahl der zu gewährenden RSUs wird ermittelt, indem der Teilbetrag des Gesamtzuteilungsbetrags, der auf die RSUs entfällt, durch den Wert einer Aktie der Gesellschaft am Gewährungstag, der im jeweiligen typischerweise jährlichen Gewährungsvertrag festgelegt wird („Gewährungstag“), geteilt und auf die nächste ganze Zahl abgerundet wird. Demnach keine berechnete Zielerreichung und kein Cap.</t>
        </r>
      </text>
    </comment>
    <comment ref="AD62" authorId="1" shapeId="0" xr:uid="{80DDDF18-056D-462D-AF7E-3B736819265D}">
      <text>
        <r>
          <rPr>
            <b/>
            <sz val="9"/>
            <color indexed="81"/>
            <rFont val="Segoe UI"/>
            <family val="2"/>
          </rPr>
          <t>Samuel Kruppa:</t>
        </r>
        <r>
          <rPr>
            <sz val="9"/>
            <color indexed="81"/>
            <rFont val="Segoe UI"/>
            <family val="2"/>
          </rPr>
          <t xml:space="preserve">
CEO berechnet nach S.12</t>
        </r>
      </text>
    </comment>
    <comment ref="AI62" authorId="1" shapeId="0" xr:uid="{86295475-4758-4CC9-9853-2E2CF91AF47B}">
      <text>
        <r>
          <rPr>
            <b/>
            <sz val="9"/>
            <color indexed="81"/>
            <rFont val="Segoe UI"/>
            <family val="2"/>
          </rPr>
          <t>Samuel Kruppa:</t>
        </r>
        <r>
          <rPr>
            <sz val="9"/>
            <color indexed="81"/>
            <rFont val="Segoe UI"/>
            <family val="2"/>
          </rPr>
          <t xml:space="preserve">
berechnet nach S.10, GJ 2021</t>
        </r>
      </text>
    </comment>
    <comment ref="AK62" authorId="1" shapeId="0" xr:uid="{F355E188-62C7-4B18-9FAB-F5B2EC018204}">
      <text>
        <r>
          <rPr>
            <b/>
            <sz val="9"/>
            <color indexed="81"/>
            <rFont val="Segoe UI"/>
            <family val="2"/>
          </rPr>
          <t>Samuel Kruppa:</t>
        </r>
        <r>
          <rPr>
            <sz val="9"/>
            <color indexed="81"/>
            <rFont val="Segoe UI"/>
            <family val="2"/>
          </rPr>
          <t xml:space="preserve">
CO2-Emissionen pro Euro Umsatz der HelloFresh-Gruppe (in g)</t>
        </r>
      </text>
    </comment>
    <comment ref="AL62" authorId="1" shapeId="0" xr:uid="{85F74264-D6D7-4601-9CFE-2CEF747F2C5D}">
      <text>
        <r>
          <rPr>
            <b/>
            <sz val="9"/>
            <color indexed="81"/>
            <rFont val="Segoe UI"/>
            <family val="2"/>
          </rPr>
          <t>Samuel Kruppa:</t>
        </r>
        <r>
          <rPr>
            <sz val="9"/>
            <color indexed="81"/>
            <rFont val="Segoe UI"/>
            <family val="2"/>
          </rPr>
          <t xml:space="preserve">
Zielerreichung 100%</t>
        </r>
      </text>
    </comment>
    <comment ref="AN62" authorId="1" shapeId="0" xr:uid="{73536932-4F4B-4F3A-BE27-FEE19C552456}">
      <text>
        <r>
          <rPr>
            <b/>
            <sz val="9"/>
            <color indexed="81"/>
            <rFont val="Segoe UI"/>
            <family val="2"/>
          </rPr>
          <t>Samuel Kruppa:</t>
        </r>
        <r>
          <rPr>
            <sz val="9"/>
            <color indexed="81"/>
            <rFont val="Segoe UI"/>
            <family val="2"/>
          </rPr>
          <t xml:space="preserve">
Zielerreichung 100%</t>
        </r>
      </text>
    </comment>
    <comment ref="AI63" authorId="1" shapeId="0" xr:uid="{8B14A54B-411E-4F1E-8872-D76BDE42304D}">
      <text>
        <r>
          <rPr>
            <b/>
            <sz val="9"/>
            <color indexed="81"/>
            <rFont val="Segoe UI"/>
            <family val="2"/>
          </rPr>
          <t>Samuel Kruppa:</t>
        </r>
        <r>
          <rPr>
            <sz val="9"/>
            <color indexed="81"/>
            <rFont val="Segoe UI"/>
            <family val="2"/>
          </rPr>
          <t xml:space="preserve">
Da bisher noch keine Performanceperiode abgelaufen ist, ergibt sich aus dem LTI im Geschäftsjahr 2023 weder eine
gewährte noch geschuldete Vergütung. Über die jeweiligen Performanceperioden wird entsprechend nach deren Ablauf
berichtet werden.</t>
        </r>
      </text>
    </comment>
    <comment ref="AK63" authorId="1" shapeId="0" xr:uid="{6D8E60D5-C167-4A7E-85B3-67117265EE47}">
      <text>
        <r>
          <rPr>
            <b/>
            <sz val="9"/>
            <color indexed="81"/>
            <rFont val="Segoe UI"/>
            <family val="2"/>
          </rPr>
          <t>Samuel Kruppa:</t>
        </r>
        <r>
          <rPr>
            <sz val="9"/>
            <color indexed="81"/>
            <rFont val="Segoe UI"/>
            <family val="2"/>
          </rPr>
          <t xml:space="preserve">
Durch das Ziel „Climate Impact“ wird eine Steigerung des Anteils erneuerbarer Energien an der durch die HENSOLDTGruppe
verbrauchten Energie und eine Senkung des CO2-Ausstoßes angestrebt
</t>
        </r>
      </text>
    </comment>
    <comment ref="D64" authorId="1" shapeId="0" xr:uid="{A17EDE78-7796-4453-9811-18A2772B603C}">
      <text>
        <r>
          <rPr>
            <b/>
            <sz val="9"/>
            <color indexed="81"/>
            <rFont val="Segoe UI"/>
            <family val="2"/>
          </rPr>
          <t>Samuel Kruppa:</t>
        </r>
        <r>
          <rPr>
            <sz val="9"/>
            <color indexed="81"/>
            <rFont val="Segoe UI"/>
            <family val="2"/>
          </rPr>
          <t xml:space="preserve">
gemittelt und berechnet nach S.369 und S.374</t>
        </r>
      </text>
    </comment>
    <comment ref="K64" authorId="1" shapeId="0" xr:uid="{777E5515-6B65-43AF-92E3-B73E0A0FB2D4}">
      <text>
        <r>
          <rPr>
            <b/>
            <sz val="9"/>
            <color indexed="81"/>
            <rFont val="Segoe UI"/>
            <family val="2"/>
          </rPr>
          <t>Samuel Kruppa:</t>
        </r>
        <r>
          <rPr>
            <sz val="9"/>
            <color indexed="81"/>
            <rFont val="Segoe UI"/>
            <family val="2"/>
          </rPr>
          <t xml:space="preserve">
Fertigstellung des Standards für die Treibhausgasbilanzierung und -berichterstattung im HOCHTIEF-Konzern, Zielerreichung 200%</t>
        </r>
      </text>
    </comment>
    <comment ref="L64" authorId="1" shapeId="0" xr:uid="{5AA6190A-8DD7-4FE8-9A94-59C248B5020B}">
      <text>
        <r>
          <rPr>
            <b/>
            <sz val="9"/>
            <color indexed="81"/>
            <rFont val="Segoe UI"/>
            <family val="2"/>
          </rPr>
          <t>Samuel Kruppa:</t>
        </r>
        <r>
          <rPr>
            <sz val="9"/>
            <color indexed="81"/>
            <rFont val="Segoe UI"/>
            <family val="2"/>
          </rPr>
          <t xml:space="preserve">
gemittelt</t>
        </r>
      </text>
    </comment>
    <comment ref="M64" authorId="1" shapeId="0" xr:uid="{8B1BE44E-A4F5-41CC-A185-2DE1B96E843E}">
      <text>
        <r>
          <rPr>
            <b/>
            <sz val="9"/>
            <color indexed="81"/>
            <rFont val="Segoe UI"/>
            <family val="2"/>
          </rPr>
          <t>Samuel Kruppa:</t>
        </r>
        <r>
          <rPr>
            <sz val="9"/>
            <color indexed="81"/>
            <rFont val="Segoe UI"/>
            <family val="2"/>
          </rPr>
          <t xml:space="preserve">
Zielerreichung 200%</t>
        </r>
      </text>
    </comment>
    <comment ref="N64" authorId="1" shapeId="0" xr:uid="{0EAAB16D-2CB0-4307-9D3D-438B6C48CACE}">
      <text>
        <r>
          <rPr>
            <b/>
            <sz val="9"/>
            <color indexed="81"/>
            <rFont val="Segoe UI"/>
            <family val="2"/>
          </rPr>
          <t>Samuel Kruppa:</t>
        </r>
        <r>
          <rPr>
            <sz val="9"/>
            <color indexed="81"/>
            <rFont val="Segoe UI"/>
            <family val="2"/>
          </rPr>
          <t xml:space="preserve">
gemittelt</t>
        </r>
      </text>
    </comment>
    <comment ref="AD64" authorId="1" shapeId="0" xr:uid="{31840C3E-6D3A-43EA-B55E-BEFCC3CA22B3}">
      <text>
        <r>
          <rPr>
            <b/>
            <sz val="9"/>
            <color indexed="81"/>
            <rFont val="Segoe UI"/>
            <family val="2"/>
          </rPr>
          <t>Samuel Kruppa:</t>
        </r>
        <r>
          <rPr>
            <sz val="9"/>
            <color indexed="81"/>
            <rFont val="Segoe UI"/>
            <family val="2"/>
          </rPr>
          <t xml:space="preserve">
gemittelt und berechnet nach S.369 und S.374</t>
        </r>
      </text>
    </comment>
    <comment ref="AK64" authorId="1" shapeId="0" xr:uid="{EBFE70F2-F934-4816-873D-DF42F984ED1B}">
      <text>
        <r>
          <rPr>
            <b/>
            <sz val="9"/>
            <color indexed="81"/>
            <rFont val="Segoe UI"/>
            <family val="2"/>
          </rPr>
          <t>Samuel Kruppa:</t>
        </r>
        <r>
          <rPr>
            <sz val="9"/>
            <color indexed="81"/>
            <rFont val="Segoe UI"/>
            <family val="2"/>
          </rPr>
          <t xml:space="preserve">
Fertigstellung des Standards für die Treibhausgasbilanzierung und -berichterstattung im HOCHTIEF-Konzern, Zielerreichung 200%</t>
        </r>
      </text>
    </comment>
    <comment ref="AL64" authorId="1" shapeId="0" xr:uid="{9CEA03F6-C816-4625-B5F7-00CB582C762F}">
      <text>
        <r>
          <rPr>
            <b/>
            <sz val="9"/>
            <color indexed="81"/>
            <rFont val="Segoe UI"/>
            <family val="2"/>
          </rPr>
          <t>Samuel Kruppa:</t>
        </r>
        <r>
          <rPr>
            <sz val="9"/>
            <color indexed="81"/>
            <rFont val="Segoe UI"/>
            <family val="2"/>
          </rPr>
          <t xml:space="preserve">
gemittelt</t>
        </r>
      </text>
    </comment>
    <comment ref="AM64" authorId="1" shapeId="0" xr:uid="{B40F8CCD-2CE5-4302-8359-917EB85F02BA}">
      <text>
        <r>
          <rPr>
            <b/>
            <sz val="9"/>
            <color indexed="81"/>
            <rFont val="Segoe UI"/>
            <family val="2"/>
          </rPr>
          <t>Samuel Kruppa:</t>
        </r>
        <r>
          <rPr>
            <sz val="9"/>
            <color indexed="81"/>
            <rFont val="Segoe UI"/>
            <family val="2"/>
          </rPr>
          <t xml:space="preserve">
Zielerreichung 200%</t>
        </r>
      </text>
    </comment>
    <comment ref="AN64" authorId="1" shapeId="0" xr:uid="{3933C892-9A9F-4878-9376-F652B6A59B6C}">
      <text>
        <r>
          <rPr>
            <b/>
            <sz val="9"/>
            <color indexed="81"/>
            <rFont val="Segoe UI"/>
            <family val="2"/>
          </rPr>
          <t>Samuel Kruppa:</t>
        </r>
        <r>
          <rPr>
            <sz val="9"/>
            <color indexed="81"/>
            <rFont val="Segoe UI"/>
            <family val="2"/>
          </rPr>
          <t xml:space="preserve">
gemittelt</t>
        </r>
      </text>
    </comment>
    <comment ref="D65" authorId="1" shapeId="0" xr:uid="{B0B5104D-8A2B-47D1-9DA2-9C701090F212}">
      <text>
        <r>
          <rPr>
            <b/>
            <sz val="9"/>
            <color indexed="81"/>
            <rFont val="Segoe UI"/>
            <family val="2"/>
          </rPr>
          <t>Samuel Kruppa:</t>
        </r>
        <r>
          <rPr>
            <sz val="9"/>
            <color indexed="81"/>
            <rFont val="Segoe UI"/>
            <family val="2"/>
          </rPr>
          <t xml:space="preserve">
CEO gemittelt nach S.176</t>
        </r>
      </text>
    </comment>
    <comment ref="AD65" authorId="1" shapeId="0" xr:uid="{80F08B6A-1794-4A0B-9BD1-6DAA82EF8292}">
      <text>
        <r>
          <rPr>
            <b/>
            <sz val="9"/>
            <color indexed="81"/>
            <rFont val="Segoe UI"/>
            <family val="2"/>
          </rPr>
          <t>Samuel Kruppa:</t>
        </r>
        <r>
          <rPr>
            <sz val="9"/>
            <color indexed="81"/>
            <rFont val="Segoe UI"/>
            <family val="2"/>
          </rPr>
          <t xml:space="preserve">
CEO gemittelt nach S.176</t>
        </r>
      </text>
    </comment>
    <comment ref="AI65" authorId="1" shapeId="0" xr:uid="{9FF9D723-0D78-4F94-98DE-A9EA4FE5C910}">
      <text>
        <r>
          <rPr>
            <b/>
            <sz val="9"/>
            <color indexed="81"/>
            <rFont val="Segoe UI"/>
            <family val="2"/>
          </rPr>
          <t>Samuel Kruppa:</t>
        </r>
        <r>
          <rPr>
            <sz val="9"/>
            <color indexed="81"/>
            <rFont val="Segoe UI"/>
            <family val="2"/>
          </rPr>
          <t xml:space="preserve">
vorläufig</t>
        </r>
      </text>
    </comment>
    <comment ref="AM65" authorId="1" shapeId="0" xr:uid="{258BAF97-9634-411F-A840-C17209653314}">
      <text>
        <r>
          <rPr>
            <b/>
            <sz val="9"/>
            <color indexed="81"/>
            <rFont val="Segoe UI"/>
            <family val="2"/>
          </rPr>
          <t>Samuel Kruppa:</t>
        </r>
        <r>
          <rPr>
            <sz val="9"/>
            <color indexed="81"/>
            <rFont val="Segoe UI"/>
            <family val="2"/>
          </rPr>
          <t xml:space="preserve">
vorläufige Zielerreichung  200%</t>
        </r>
      </text>
    </comment>
    <comment ref="AQ65" authorId="1" shapeId="0" xr:uid="{35D0C0CE-6B13-4902-8A47-54A0090C436B}">
      <text>
        <r>
          <rPr>
            <b/>
            <sz val="9"/>
            <color indexed="81"/>
            <rFont val="Segoe UI"/>
            <family val="2"/>
          </rPr>
          <t xml:space="preserve">Samuel Kruppa:
</t>
        </r>
        <r>
          <rPr>
            <sz val="9"/>
            <color indexed="81"/>
            <rFont val="Segoe UI"/>
            <family val="2"/>
          </rPr>
          <t>vorläufige Zielerreichung 184%</t>
        </r>
      </text>
    </comment>
    <comment ref="D66" authorId="1" shapeId="0" xr:uid="{AC3A25AB-C0D2-44EB-9279-E8ECC6D23915}">
      <text>
        <r>
          <rPr>
            <b/>
            <sz val="9"/>
            <color indexed="81"/>
            <rFont val="Segoe UI"/>
            <family val="2"/>
          </rPr>
          <t>Samuel Kruppa:</t>
        </r>
        <r>
          <rPr>
            <sz val="9"/>
            <color indexed="81"/>
            <rFont val="Segoe UI"/>
            <family val="2"/>
          </rPr>
          <t xml:space="preserve">
gemitelt nach S.11</t>
        </r>
      </text>
    </comment>
    <comment ref="F66" authorId="1" shapeId="0" xr:uid="{EEBC3AB3-7A79-49A3-BF5C-ED9B6FD1595D}">
      <text>
        <r>
          <rPr>
            <b/>
            <sz val="9"/>
            <color indexed="81"/>
            <rFont val="Segoe UI"/>
            <family val="2"/>
          </rPr>
          <t>Samuel Kruppa:</t>
        </r>
        <r>
          <rPr>
            <sz val="9"/>
            <color indexed="81"/>
            <rFont val="Segoe UI"/>
            <family val="2"/>
          </rPr>
          <t xml:space="preserve">
ESG-Ziele sind Teil eines Multiplikators (0,8-1,2)</t>
        </r>
      </text>
    </comment>
    <comment ref="I66" authorId="1" shapeId="0" xr:uid="{3CA063EC-E78F-46BF-AA92-869AEA84C4C7}">
      <text>
        <r>
          <rPr>
            <b/>
            <sz val="9"/>
            <color indexed="81"/>
            <rFont val="Segoe UI"/>
            <family val="2"/>
          </rPr>
          <t>Samuel Kruppa:</t>
        </r>
        <r>
          <rPr>
            <sz val="9"/>
            <color indexed="81"/>
            <rFont val="Segoe UI"/>
            <family val="2"/>
          </rPr>
          <t xml:space="preserve">
berechnet nach S.117</t>
        </r>
      </text>
    </comment>
    <comment ref="K66" authorId="1" shapeId="0" xr:uid="{C2714FFC-4E07-4F9E-8360-70A43DDF7AF6}">
      <text>
        <r>
          <rPr>
            <b/>
            <sz val="9"/>
            <color indexed="81"/>
            <rFont val="Segoe UI"/>
            <family val="2"/>
          </rPr>
          <t>Samuel Kruppa:</t>
        </r>
        <r>
          <rPr>
            <sz val="9"/>
            <color indexed="81"/>
            <rFont val="Segoe UI"/>
            <family val="2"/>
          </rPr>
          <t xml:space="preserve">
Aktive Reduktion der CO₂-Emissionen: Ökostrom-Anteil der Hauptstandorte am Gesamtstrombedarf, Zielerreichung 111%, berechnet nach S.118</t>
        </r>
      </text>
    </comment>
    <comment ref="P66" authorId="1" shapeId="0" xr:uid="{FC8741BF-AAC1-444A-AF5D-458976B73A56}">
      <text>
        <r>
          <rPr>
            <b/>
            <sz val="9"/>
            <color indexed="81"/>
            <rFont val="Segoe UI"/>
            <family val="2"/>
          </rPr>
          <t>Samuel Kruppa:</t>
        </r>
        <r>
          <rPr>
            <sz val="9"/>
            <color indexed="81"/>
            <rFont val="Segoe UI"/>
            <family val="2"/>
          </rPr>
          <t xml:space="preserve">
Zielerreichung 100%.
Globaler Engagement Score: Engagement unserer Mitarbeiter, d. h. 75 % unserer Mitarbeiter identifizieren sich 2023 positiv mit ihren Aufgaben bei Jenoptik und bringen sich aktiv ein</t>
        </r>
      </text>
    </comment>
    <comment ref="W66" authorId="1" shapeId="0" xr:uid="{393E6FE0-6DFE-48E1-98CC-3562ABF74EC6}">
      <text>
        <r>
          <rPr>
            <b/>
            <sz val="9"/>
            <color indexed="81"/>
            <rFont val="Segoe UI"/>
            <family val="2"/>
          </rPr>
          <t>Samuel Kruppa:</t>
        </r>
        <r>
          <rPr>
            <sz val="9"/>
            <color indexed="81"/>
            <rFont val="Segoe UI"/>
            <family val="2"/>
          </rPr>
          <t xml:space="preserve">
Zielerreichung 107%, berechnet nach S.118</t>
        </r>
      </text>
    </comment>
    <comment ref="AD66" authorId="1" shapeId="0" xr:uid="{CB120C0B-4322-4DB3-AC32-B7CEC77A3A0B}">
      <text>
        <r>
          <rPr>
            <b/>
            <sz val="9"/>
            <color indexed="81"/>
            <rFont val="Segoe UI"/>
            <family val="2"/>
          </rPr>
          <t>Samuel Kruppa:</t>
        </r>
        <r>
          <rPr>
            <sz val="9"/>
            <color indexed="81"/>
            <rFont val="Segoe UI"/>
            <family val="2"/>
          </rPr>
          <t xml:space="preserve">
gemitelt nach S.11</t>
        </r>
      </text>
    </comment>
    <comment ref="AI66" authorId="1" shapeId="0" xr:uid="{823422EE-A8FE-4948-9653-7C78DF85A64A}">
      <text>
        <r>
          <rPr>
            <b/>
            <sz val="9"/>
            <color indexed="81"/>
            <rFont val="Segoe UI"/>
            <family val="2"/>
          </rPr>
          <t>Samuel Kruppa:</t>
        </r>
        <r>
          <rPr>
            <sz val="9"/>
            <color indexed="81"/>
            <rFont val="Segoe UI"/>
            <family val="2"/>
          </rPr>
          <t xml:space="preserve">
Tranche 2020</t>
        </r>
      </text>
    </comment>
    <comment ref="AK66" authorId="1" shapeId="0" xr:uid="{4B27DFEC-7BAF-4760-935D-56C6A1137835}">
      <text>
        <r>
          <rPr>
            <b/>
            <sz val="9"/>
            <color indexed="81"/>
            <rFont val="Segoe UI"/>
            <family val="2"/>
          </rPr>
          <t>Samuel Kruppa:</t>
        </r>
        <r>
          <rPr>
            <sz val="9"/>
            <color indexed="81"/>
            <rFont val="Segoe UI"/>
            <family val="2"/>
          </rPr>
          <t xml:space="preserve">
Aktive Reduktion der CO₂-Emissionen (Scope 1+2) im Vergleich zum Basisjahr 2019</t>
        </r>
      </text>
    </comment>
    <comment ref="AR66" authorId="1" shapeId="0" xr:uid="{AA227617-FB16-4C52-8CE4-4B0146E78EA5}">
      <text>
        <r>
          <rPr>
            <b/>
            <sz val="9"/>
            <color indexed="81"/>
            <rFont val="Segoe UI"/>
            <family val="2"/>
          </rPr>
          <t>Samuel Kruppa:</t>
        </r>
        <r>
          <rPr>
            <sz val="9"/>
            <color indexed="81"/>
            <rFont val="Segoe UI"/>
            <family val="2"/>
          </rPr>
          <t xml:space="preserve">
Anteil der Führungskräfte mit internationaler Herkunft und weiblicher Führungskräfte</t>
        </r>
      </text>
    </comment>
    <comment ref="AW66" authorId="1" shapeId="0" xr:uid="{C96B9866-72D1-4A71-B7AD-DB638C14F2F9}">
      <text>
        <r>
          <rPr>
            <b/>
            <sz val="9"/>
            <color indexed="81"/>
            <rFont val="Segoe UI"/>
            <family val="2"/>
          </rPr>
          <t>Samuel Kruppa:</t>
        </r>
        <r>
          <rPr>
            <sz val="9"/>
            <color indexed="81"/>
            <rFont val="Segoe UI"/>
            <family val="2"/>
          </rPr>
          <t xml:space="preserve">
CSR-Rate: prozentualer Anteil der Lieferanten von Produktionsmaterialien mit einem jährlichen Einkaufsvolumen von mehr als 200.000 Euro, bei denen vollständige CSR-Self Assessments vorliegen</t>
        </r>
      </text>
    </comment>
    <comment ref="D67" authorId="1" shapeId="0" xr:uid="{B28CFE93-4613-4FF1-8DE8-3CC8FE8C115E}">
      <text>
        <r>
          <rPr>
            <b/>
            <sz val="9"/>
            <color indexed="81"/>
            <rFont val="Segoe UI"/>
            <charset val="1"/>
          </rPr>
          <t>Samuel Kruppa:</t>
        </r>
        <r>
          <rPr>
            <sz val="9"/>
            <color indexed="81"/>
            <rFont val="Segoe UI"/>
            <charset val="1"/>
          </rPr>
          <t xml:space="preserve">
CEO, gewährte und verschuldete Vergütung, S.17</t>
        </r>
      </text>
    </comment>
    <comment ref="M67" authorId="1" shapeId="0" xr:uid="{D70B0201-6D65-4CA9-962A-02F96F12499B}">
      <text>
        <r>
          <rPr>
            <b/>
            <sz val="9"/>
            <color indexed="81"/>
            <rFont val="Segoe UI"/>
            <charset val="1"/>
          </rPr>
          <t>Samuel Kruppa:</t>
        </r>
        <r>
          <rPr>
            <sz val="9"/>
            <color indexed="81"/>
            <rFont val="Segoe UI"/>
            <charset val="1"/>
          </rPr>
          <t xml:space="preserve">
ZE 99,20%, ESG Ziel, weil Lithium-Ionen-Technologie im Vergleich zu traditionellen Blei-Säure-Batterien mehrere ökologische Vorteile bietet</t>
        </r>
      </text>
    </comment>
    <comment ref="AD67" authorId="1" shapeId="0" xr:uid="{595B4870-2D82-4A84-AD1F-4AEE35493A4C}">
      <text>
        <r>
          <rPr>
            <b/>
            <sz val="9"/>
            <color indexed="81"/>
            <rFont val="Segoe UI"/>
            <charset val="1"/>
          </rPr>
          <t>Samuel Kruppa:</t>
        </r>
        <r>
          <rPr>
            <sz val="9"/>
            <color indexed="81"/>
            <rFont val="Segoe UI"/>
            <charset val="1"/>
          </rPr>
          <t xml:space="preserve">
CEO, gewährte und verschuldete Vergütung</t>
        </r>
      </text>
    </comment>
    <comment ref="AI67" authorId="1" shapeId="0" xr:uid="{BEBBE61E-D19B-4921-BD94-A6AD61C441D2}">
      <text>
        <r>
          <rPr>
            <b/>
            <sz val="9"/>
            <color indexed="81"/>
            <rFont val="Segoe UI"/>
            <charset val="1"/>
          </rPr>
          <t>Samuel Kruppa:</t>
        </r>
        <r>
          <rPr>
            <sz val="9"/>
            <color indexed="81"/>
            <rFont val="Segoe UI"/>
            <charset val="1"/>
          </rPr>
          <t xml:space="preserve">
Tranche 2021-23</t>
        </r>
      </text>
    </comment>
    <comment ref="AM67" authorId="1" shapeId="0" xr:uid="{DEFCAA2E-331E-40B7-A074-3D5FF65ACCFA}">
      <text>
        <r>
          <rPr>
            <b/>
            <sz val="9"/>
            <color indexed="81"/>
            <rFont val="Segoe UI"/>
            <charset val="1"/>
          </rPr>
          <t>Samuel Kruppa:</t>
        </r>
        <r>
          <rPr>
            <sz val="9"/>
            <color indexed="81"/>
            <rFont val="Segoe UI"/>
            <charset val="1"/>
          </rPr>
          <t xml:space="preserve">
ZE 0% in Tranche 2021-23. ESG Ziel, weil Lithium-Ionen-Technologie im Vergleich zu traditionellen Blei-Säure-Batterien mehrere ökologische Vorteile bietet</t>
        </r>
      </text>
    </comment>
    <comment ref="AI68" authorId="1" shapeId="0" xr:uid="{0CB05757-9B9A-411E-92BD-58A721BC1483}">
      <text>
        <r>
          <rPr>
            <b/>
            <sz val="9"/>
            <color indexed="81"/>
            <rFont val="Segoe UI"/>
            <family val="2"/>
          </rPr>
          <t>Samuel Kruppa:</t>
        </r>
        <r>
          <rPr>
            <sz val="9"/>
            <color indexed="81"/>
            <rFont val="Segoe UI"/>
            <family val="2"/>
          </rPr>
          <t xml:space="preserve">
berechnet nach S.171 und S,173, Tranche 21-23</t>
        </r>
      </text>
    </comment>
    <comment ref="AK68" authorId="1" shapeId="0" xr:uid="{7792DEE1-6DBC-490F-9CB6-D9BBF4B0BEAC}">
      <text>
        <r>
          <rPr>
            <b/>
            <sz val="9"/>
            <color indexed="81"/>
            <rFont val="Segoe UI"/>
            <family val="2"/>
          </rPr>
          <t>Samuel Kruppa:</t>
        </r>
        <r>
          <rPr>
            <sz val="9"/>
            <color indexed="81"/>
            <rFont val="Segoe UI"/>
            <family val="2"/>
          </rPr>
          <t xml:space="preserve">
UMWELT &amp; RESSOURCEN: RESSOURCENEFFIZIENZ —
SPEZIFISCHE CO2-EMISSIONEN
Innerhalb des Bereichs „Umwelt &amp; Ressourcen“ sollen die
spezifischen CO2-Emissionen ausgehend von einem Startwert
von 271,6 kg pro Tonne im Ausgangsjahr 2020 auf einen Zielwert
von 254,6 kg pro Tonne per 31. Dezember 2027 reduziert
werden. Der LTI-Wert berechnet sich durch das Verhältnis der
CO2-Emissionen (Scope 1 und Scope 2) aller kali- und
steinsalzproduzierender Standorte in Kilogramm zur
Primärproduktionsmenge der Standorte Bethune, Hattorf,
Neuhof-Ellers, Unterbreizbach, Wintershall und Zielitz</t>
        </r>
      </text>
    </comment>
    <comment ref="AR68" authorId="1" shapeId="0" xr:uid="{CC3E0C6E-8C19-400B-9035-55FD2E4C091B}">
      <text>
        <r>
          <rPr>
            <b/>
            <sz val="9"/>
            <color indexed="81"/>
            <rFont val="Segoe UI"/>
            <family val="2"/>
          </rPr>
          <t>Samuel Kruppa:</t>
        </r>
        <r>
          <rPr>
            <sz val="9"/>
            <color indexed="81"/>
            <rFont val="Segoe UI"/>
            <family val="2"/>
          </rPr>
          <t xml:space="preserve">
Die Kennzahl Lost Time Incident Rate aus dem Bereich
„Gesellschaft &amp; Mitarbeiter“ misst die Zahl der Arbeitsunfälle mit
einer Ausfallzeit von mindestens 24 Stunden je eine Million
geleisteter Arbeitsstunden und soll in einem Dreijahreszeitraum
um drei Punkte reduziert werden. Im Falle eines tödlichen
Arbeitsunfalls wird ein Malusfaktor von 1,0 Punkten
aufgeschlagen, da Todesfälle in der Definition der LTI-Rate nicht
berücksichtigt werden.</t>
        </r>
      </text>
    </comment>
    <comment ref="AW68" authorId="1" shapeId="0" xr:uid="{2C6596F8-3E0A-4FC8-97BB-63CBA0997782}">
      <text>
        <r>
          <rPr>
            <b/>
            <sz val="9"/>
            <color indexed="81"/>
            <rFont val="Segoe UI"/>
            <family val="2"/>
          </rPr>
          <t>Samuel Kruppa:</t>
        </r>
        <r>
          <rPr>
            <sz val="9"/>
            <color indexed="81"/>
            <rFont val="Segoe UI"/>
            <family val="2"/>
          </rPr>
          <t xml:space="preserve">
GESCHÄFTSETHIK &amp; MENSCHENRECHTE: NACHHALTIGE
LIEFERKETTEN — NACHHALTIGKEITSRISIKOBEWERTUNGEN
FÜR LIEFERANTEN AUS BESTIMMTEN LÄNDERN
Für den Bereich „Geschäftsethik &amp; Menschenrechte“ soll bis 31.
Dezember 2027 für mehr als 90 % der relevanten Lieferanten
eine Nachhaltigkeitsrisikobewertung vorliegen. Darin
einbezogen werden Lieferanten mit einem Jahresumsatz von
mindestens 5.000 €, deren Sitz in einem Land ist, das einen
relativen Wert von ≤ 75 % im Ranking des Sustainability
Development Report hat. Inbegriffen sind konsolidierte und nicht
konsolidierte K+S Gesellschaften, die über das SAP-System
geführt werden</t>
        </r>
      </text>
    </comment>
    <comment ref="D69" authorId="1" shapeId="0" xr:uid="{D1BC55E5-FB8D-49C0-B987-15EF6DA4ADCD}">
      <text>
        <r>
          <rPr>
            <b/>
            <sz val="9"/>
            <color indexed="81"/>
            <rFont val="Segoe UI"/>
            <family val="2"/>
          </rPr>
          <t>Samuel Kruppa:</t>
        </r>
        <r>
          <rPr>
            <sz val="9"/>
            <color indexed="81"/>
            <rFont val="Segoe UI"/>
            <family val="2"/>
          </rPr>
          <t xml:space="preserve">
Gewährte und geschuldete Vergütung im Geschäftsjahr 2023, CEO, S.25</t>
        </r>
      </text>
    </comment>
    <comment ref="M69" authorId="1" shapeId="0" xr:uid="{F7BD0473-F8EF-479D-BDBC-EBEE85B614E5}">
      <text>
        <r>
          <rPr>
            <b/>
            <sz val="9"/>
            <color indexed="81"/>
            <rFont val="Segoe UI"/>
            <family val="2"/>
          </rPr>
          <t>Samuel Kruppa:</t>
        </r>
        <r>
          <rPr>
            <sz val="9"/>
            <color indexed="81"/>
            <rFont val="Segoe UI"/>
            <family val="2"/>
          </rPr>
          <t xml:space="preserve">
Aus dem Themenfeld „Nachhaltigkeit und Umwelt“ wurde als nichtfinanzielle Bemessungs-grundlage für den STI 2023 der ISO-Zertifizierungsgrad von Standorten der KION Group nach Umwelt- und Arbeitssicherheitskriterien (ISO 14001 und ISO 45001) als Zielgröße festgelegt. Zielerreichung 200%</t>
        </r>
      </text>
    </comment>
    <comment ref="R69" authorId="1" shapeId="0" xr:uid="{E6297D46-33F2-42D7-BB24-5819E0694961}">
      <text>
        <r>
          <rPr>
            <b/>
            <sz val="9"/>
            <color indexed="81"/>
            <rFont val="Segoe UI"/>
            <family val="2"/>
          </rPr>
          <t>Samuel Kruppa:</t>
        </r>
        <r>
          <rPr>
            <sz val="9"/>
            <color indexed="81"/>
            <rFont val="Segoe UI"/>
            <family val="2"/>
          </rPr>
          <t xml:space="preserve">
Aus dem Themenfeld „Arbeitssicherheit &amp; Gesundheit“ fließt die sogenannte Lost-Time In-jury Frequency Rate (LTIFR) der KION Group, welche die Häufigkeit von Unfällen mit da-rauffolgendem Zeitausfall von mindestens einer Schicht je eine Mio. Arbeitsstunden angibt, in die Bemessung des STI 2023 ein. Zielerreichung: 184,62</t>
        </r>
      </text>
    </comment>
    <comment ref="AD69" authorId="1" shapeId="0" xr:uid="{6D7EDA83-B5B2-41C2-9EA8-481B8F34E3A1}">
      <text>
        <r>
          <rPr>
            <b/>
            <sz val="9"/>
            <color indexed="81"/>
            <rFont val="Segoe UI"/>
            <family val="2"/>
          </rPr>
          <t>Samuel Kruppa:</t>
        </r>
        <r>
          <rPr>
            <sz val="9"/>
            <color indexed="81"/>
            <rFont val="Segoe UI"/>
            <family val="2"/>
          </rPr>
          <t xml:space="preserve">
Gewährte und geschuldete Vergütung im Geschäftsjahr 2023, CEO, S.25, kein LTI da CEO erst ab 1.1.22 im Amt ist</t>
        </r>
      </text>
    </comment>
    <comment ref="AI69" authorId="1" shapeId="0" xr:uid="{194CD320-9D86-4166-81C4-CC07FB8929CF}">
      <text>
        <r>
          <rPr>
            <b/>
            <sz val="9"/>
            <color indexed="81"/>
            <rFont val="Segoe UI"/>
            <family val="2"/>
          </rPr>
          <t>Samuel Kruppa:</t>
        </r>
        <r>
          <rPr>
            <sz val="9"/>
            <color indexed="81"/>
            <rFont val="Segoe UI"/>
            <family val="2"/>
          </rPr>
          <t xml:space="preserve">
Tranche 21-23</t>
        </r>
      </text>
    </comment>
    <comment ref="AP69" authorId="1" shapeId="0" xr:uid="{4F1F5D75-D58E-430E-ABDC-D0826BF27E42}">
      <text>
        <r>
          <rPr>
            <b/>
            <sz val="9"/>
            <color indexed="81"/>
            <rFont val="Segoe UI"/>
            <family val="2"/>
          </rPr>
          <t>Samuel Kruppa:</t>
        </r>
        <r>
          <rPr>
            <sz val="9"/>
            <color indexed="81"/>
            <rFont val="Segoe UI"/>
            <family val="2"/>
          </rPr>
          <t xml:space="preserve">
Engagement Score, Zielerreichung 50%</t>
        </r>
      </text>
    </comment>
    <comment ref="AR69" authorId="1" shapeId="0" xr:uid="{5B04EB02-8333-437B-947F-5BAD6316C831}">
      <text>
        <r>
          <rPr>
            <b/>
            <sz val="9"/>
            <color indexed="81"/>
            <rFont val="Segoe UI"/>
            <family val="2"/>
          </rPr>
          <t>Samuel Kruppa:</t>
        </r>
        <r>
          <rPr>
            <sz val="9"/>
            <color indexed="81"/>
            <rFont val="Segoe UI"/>
            <family val="2"/>
          </rPr>
          <t xml:space="preserve">
Zielerreichung 200%</t>
        </r>
      </text>
    </comment>
    <comment ref="AW69" authorId="1" shapeId="0" xr:uid="{A17517F1-29FE-4676-AF56-0F56BEBAC57A}">
      <text>
        <r>
          <rPr>
            <b/>
            <sz val="9"/>
            <color indexed="81"/>
            <rFont val="Segoe UI"/>
            <family val="2"/>
          </rPr>
          <t>Samuel Kruppa:</t>
        </r>
        <r>
          <rPr>
            <sz val="9"/>
            <color indexed="81"/>
            <rFont val="Segoe UI"/>
            <family val="2"/>
          </rPr>
          <t xml:space="preserve">
Zielerreichung 0%</t>
        </r>
      </text>
    </comment>
    <comment ref="D70" authorId="1" shapeId="0" xr:uid="{31BCBF99-58BB-4A84-B350-697BCE9C27C9}">
      <text>
        <r>
          <rPr>
            <b/>
            <sz val="9"/>
            <color indexed="81"/>
            <rFont val="Segoe UI"/>
            <family val="2"/>
          </rPr>
          <t xml:space="preserve">Samuel Kruppa
</t>
        </r>
        <r>
          <rPr>
            <sz val="9"/>
            <color indexed="81"/>
            <rFont val="Segoe UI"/>
            <family val="2"/>
          </rPr>
          <t>CEO gemittelt nach S.227</t>
        </r>
      </text>
    </comment>
    <comment ref="F70" authorId="1" shapeId="0" xr:uid="{D235A430-9672-42C7-833A-A57DF58738D5}">
      <text>
        <r>
          <rPr>
            <b/>
            <sz val="9"/>
            <color indexed="81"/>
            <rFont val="Segoe UI"/>
            <family val="2"/>
          </rPr>
          <t>Samuel Kruppa:</t>
        </r>
        <r>
          <rPr>
            <sz val="9"/>
            <color indexed="81"/>
            <rFont val="Segoe UI"/>
            <family val="2"/>
          </rPr>
          <t xml:space="preserve">
 20% eines indv. Performancefaktors (0,8-1,2); 20 % der STI </t>
        </r>
      </text>
    </comment>
    <comment ref="I70" authorId="1" shapeId="0" xr:uid="{5B200BE9-728F-4F52-89A6-3BE3ED33F660}">
      <text>
        <r>
          <rPr>
            <b/>
            <sz val="9"/>
            <color indexed="81"/>
            <rFont val="Segoe UI"/>
            <family val="2"/>
          </rPr>
          <t>Samuel Kruppa:</t>
        </r>
        <r>
          <rPr>
            <sz val="9"/>
            <color indexed="81"/>
            <rFont val="Segoe UI"/>
            <family val="2"/>
          </rPr>
          <t xml:space="preserve">
berechnet nach S.226 und 232</t>
        </r>
      </text>
    </comment>
    <comment ref="K70" authorId="1" shapeId="0" xr:uid="{C140D0D4-15CF-4BD0-AD60-BBAACCE4D27E}">
      <text>
        <r>
          <rPr>
            <b/>
            <sz val="9"/>
            <color indexed="81"/>
            <rFont val="Segoe UI"/>
            <family val="2"/>
          </rPr>
          <t>Samuel Kruppa:</t>
        </r>
        <r>
          <rPr>
            <sz val="9"/>
            <color indexed="81"/>
            <rFont val="Segoe UI"/>
            <family val="2"/>
          </rPr>
          <t xml:space="preserve">
Berücksichtigung des Eigenbeitrags zur CO2-
Neutralität</t>
        </r>
      </text>
    </comment>
    <comment ref="W70" authorId="1" shapeId="0" xr:uid="{B995A5B4-C3D4-4970-BDBE-E3A161C0C346}">
      <text>
        <r>
          <rPr>
            <b/>
            <sz val="9"/>
            <color indexed="81"/>
            <rFont val="Segoe UI"/>
            <family val="2"/>
          </rPr>
          <t>Samuel Kruppa:</t>
        </r>
        <r>
          <rPr>
            <sz val="9"/>
            <color indexed="81"/>
            <rFont val="Segoe UI"/>
            <family val="2"/>
          </rPr>
          <t xml:space="preserve">
Das
ESG-Teilziel extern bildet die Positionierung der Gesellschaft
in den ESG-Ratings der Agenturen ISS (ESG-Rating
in der Vergleichsgruppe Heavy Trucks &amp; Construction &amp; Farm
Machinery), S&amp;P (Corporate Sustainability Assessment in
der Vergleichsgruppe IEQ Machinery and Electrical
Equipment) und Sustainalytics (CSA-Rating in der Vergleichsgruppe
Heavy Machinery and Trucks) ab</t>
        </r>
      </text>
    </comment>
    <comment ref="Y70" authorId="1" shapeId="0" xr:uid="{53F5D346-AFA8-45C6-B9E0-7A43168BADF6}">
      <text>
        <r>
          <rPr>
            <b/>
            <sz val="9"/>
            <color indexed="81"/>
            <rFont val="Segoe UI"/>
            <family val="2"/>
          </rPr>
          <t>Samuel Kruppa:</t>
        </r>
        <r>
          <rPr>
            <sz val="9"/>
            <color indexed="81"/>
            <rFont val="Segoe UI"/>
            <family val="2"/>
          </rPr>
          <t xml:space="preserve">
für CEO, ordentliche Vorstandsmitglieder 200%</t>
        </r>
      </text>
    </comment>
    <comment ref="AD70" authorId="1" shapeId="0" xr:uid="{7357F2A6-2C06-4A6F-8F43-A4C2EDB4F053}">
      <text>
        <r>
          <rPr>
            <b/>
            <sz val="9"/>
            <color indexed="81"/>
            <rFont val="Segoe UI"/>
            <family val="2"/>
          </rPr>
          <t xml:space="preserve">Samuel Kruppa
</t>
        </r>
        <r>
          <rPr>
            <sz val="9"/>
            <color indexed="81"/>
            <rFont val="Segoe UI"/>
            <family val="2"/>
          </rPr>
          <t>CEO gemittelt nach S.227</t>
        </r>
      </text>
    </comment>
    <comment ref="AI70" authorId="1" shapeId="0" xr:uid="{F5817E0D-526D-41B3-AF6B-E5EEA330AF51}">
      <text>
        <r>
          <rPr>
            <b/>
            <sz val="9"/>
            <color indexed="81"/>
            <rFont val="Segoe UI"/>
            <family val="2"/>
          </rPr>
          <t>Samuel Kruppa:</t>
        </r>
        <r>
          <rPr>
            <sz val="9"/>
            <color indexed="81"/>
            <rFont val="Segoe UI"/>
            <family val="2"/>
          </rPr>
          <t xml:space="preserve">
Tranche 2020-23</t>
        </r>
      </text>
    </comment>
    <comment ref="AY70" authorId="1" shapeId="0" xr:uid="{D4A284B2-966B-4F44-88D7-07920AD39C2C}">
      <text>
        <r>
          <rPr>
            <b/>
            <sz val="9"/>
            <color indexed="81"/>
            <rFont val="Segoe UI"/>
            <family val="2"/>
          </rPr>
          <t>Samuel Kruppa:</t>
        </r>
        <r>
          <rPr>
            <sz val="9"/>
            <color indexed="81"/>
            <rFont val="Segoe UI"/>
            <family val="2"/>
          </rPr>
          <t xml:space="preserve">
für CEO, ordentliche Vorstandsmitglieder 200%</t>
        </r>
      </text>
    </comment>
    <comment ref="I71" authorId="1" shapeId="0" xr:uid="{31225188-CB24-4003-9C51-B305CD547F3F}">
      <text>
        <r>
          <rPr>
            <b/>
            <sz val="9"/>
            <color indexed="81"/>
            <rFont val="Segoe UI"/>
            <family val="2"/>
          </rPr>
          <t>Samuel Kruppa:</t>
        </r>
        <r>
          <rPr>
            <sz val="9"/>
            <color indexed="81"/>
            <rFont val="Segoe UI"/>
            <family val="2"/>
          </rPr>
          <t xml:space="preserve">
berechnet nach S.8</t>
        </r>
      </text>
    </comment>
    <comment ref="AI71" authorId="1" shapeId="0" xr:uid="{729AAFEE-2642-4FC1-B3F4-5A594762BD6F}">
      <text>
        <r>
          <rPr>
            <b/>
            <sz val="9"/>
            <color indexed="81"/>
            <rFont val="Segoe UI"/>
            <family val="2"/>
          </rPr>
          <t>Samuel Kruppa:</t>
        </r>
        <r>
          <rPr>
            <sz val="9"/>
            <color indexed="81"/>
            <rFont val="Segoe UI"/>
            <family val="2"/>
          </rPr>
          <t xml:space="preserve">
Tranche 2021-2024, damals noch ohne ESG</t>
        </r>
      </text>
    </comment>
    <comment ref="AK71" authorId="1" shapeId="0" xr:uid="{A2651357-8F87-4977-926E-A23C6255E023}">
      <text>
        <r>
          <rPr>
            <b/>
            <sz val="9"/>
            <color indexed="81"/>
            <rFont val="Segoe UI"/>
            <family val="2"/>
          </rPr>
          <t>Samuel Kruppa:</t>
        </r>
        <r>
          <rPr>
            <sz val="9"/>
            <color indexed="81"/>
            <rFont val="Segoe UI"/>
            <family val="2"/>
          </rPr>
          <t xml:space="preserve">
CO2-Ziel</t>
        </r>
      </text>
    </comment>
    <comment ref="D72" authorId="1" shapeId="0" xr:uid="{819FEFAD-4196-4D83-B588-8D86BB1DDB29}">
      <text>
        <r>
          <rPr>
            <b/>
            <sz val="9"/>
            <color indexed="81"/>
            <rFont val="Segoe UI"/>
            <family val="2"/>
          </rPr>
          <t>Samuel Kruppa:</t>
        </r>
        <r>
          <rPr>
            <sz val="9"/>
            <color indexed="81"/>
            <rFont val="Segoe UI"/>
            <family val="2"/>
          </rPr>
          <t xml:space="preserve">
CEO</t>
        </r>
      </text>
    </comment>
    <comment ref="I72" authorId="1" shapeId="0" xr:uid="{ABB0480E-302A-4163-8A9B-70ADE6465048}">
      <text>
        <r>
          <rPr>
            <b/>
            <sz val="9"/>
            <color indexed="81"/>
            <rFont val="Segoe UI"/>
            <family val="2"/>
          </rPr>
          <t>Samuel Kruppa:</t>
        </r>
        <r>
          <rPr>
            <sz val="9"/>
            <color indexed="81"/>
            <rFont val="Segoe UI"/>
            <family val="2"/>
          </rPr>
          <t xml:space="preserve">
berechnet nach S.7-8</t>
        </r>
      </text>
    </comment>
    <comment ref="R72" authorId="1" shapeId="0" xr:uid="{3D7E6124-367F-40CE-9A20-C792E9FFCCC8}">
      <text>
        <r>
          <rPr>
            <b/>
            <sz val="9"/>
            <color indexed="81"/>
            <rFont val="Segoe UI"/>
            <family val="2"/>
          </rPr>
          <t>Samuel Kruppa:</t>
        </r>
        <r>
          <rPr>
            <sz val="9"/>
            <color indexed="81"/>
            <rFont val="Segoe UI"/>
            <family val="2"/>
          </rPr>
          <t xml:space="preserve">
ZE 150%</t>
        </r>
      </text>
    </comment>
    <comment ref="AD72" authorId="1" shapeId="0" xr:uid="{14333527-848E-418B-AA06-99786EBD65F2}">
      <text>
        <r>
          <rPr>
            <b/>
            <sz val="9"/>
            <color indexed="81"/>
            <rFont val="Segoe UI"/>
            <family val="2"/>
          </rPr>
          <t>Samuel Kruppa:</t>
        </r>
        <r>
          <rPr>
            <sz val="9"/>
            <color indexed="81"/>
            <rFont val="Segoe UI"/>
            <family val="2"/>
          </rPr>
          <t xml:space="preserve">
CEO</t>
        </r>
      </text>
    </comment>
    <comment ref="AI72" authorId="1" shapeId="0" xr:uid="{BA94B276-5163-4EA9-8C88-7A43BF178859}">
      <text>
        <r>
          <rPr>
            <b/>
            <sz val="9"/>
            <color indexed="81"/>
            <rFont val="Segoe UI"/>
            <family val="2"/>
          </rPr>
          <t>Samuel Kruppa:</t>
        </r>
        <r>
          <rPr>
            <sz val="9"/>
            <color indexed="81"/>
            <rFont val="Segoe UI"/>
            <family val="2"/>
          </rPr>
          <t xml:space="preserve">
Tranche 2020, S.9</t>
        </r>
      </text>
    </comment>
    <comment ref="AK72" authorId="1" shapeId="0" xr:uid="{A9413633-E791-4170-9362-5A23CB7EE330}">
      <text>
        <r>
          <rPr>
            <b/>
            <sz val="9"/>
            <color indexed="81"/>
            <rFont val="Segoe UI"/>
            <family val="2"/>
          </rPr>
          <t>Samuel Kruppa:</t>
        </r>
        <r>
          <rPr>
            <sz val="9"/>
            <color indexed="81"/>
            <rFont val="Segoe UI"/>
            <family val="2"/>
          </rPr>
          <t xml:space="preserve">
Reduktion der CO2e-Emissionen
aus eigenen Prozessen und aus bezogenen Energien
(Scope 1 und 2)</t>
        </r>
      </text>
    </comment>
    <comment ref="D73" authorId="1" shapeId="0" xr:uid="{2060424E-0EB2-43C4-9797-FAEBEECB4462}">
      <text>
        <r>
          <rPr>
            <b/>
            <sz val="9"/>
            <color indexed="81"/>
            <rFont val="Segoe UI"/>
          </rPr>
          <t>Samuel Kruppa:</t>
        </r>
        <r>
          <rPr>
            <sz val="9"/>
            <color indexed="81"/>
            <rFont val="Segoe UI"/>
          </rPr>
          <t xml:space="preserve">
berechnet nach S.74, CEO</t>
        </r>
      </text>
    </comment>
    <comment ref="K73" authorId="1" shapeId="0" xr:uid="{07C749B3-6105-4E09-8037-4119ADD5710B}">
      <text>
        <r>
          <rPr>
            <b/>
            <sz val="9"/>
            <color indexed="81"/>
            <rFont val="Segoe UI"/>
          </rPr>
          <t>Samuel Kruppa:</t>
        </r>
        <r>
          <rPr>
            <sz val="9"/>
            <color indexed="81"/>
            <rFont val="Segoe UI"/>
          </rPr>
          <t xml:space="preserve">
Reduktion um 4.000 t CO2 durch Modernisierung und
Kundenverhaltensänderung, ZE 200%</t>
        </r>
      </text>
    </comment>
    <comment ref="L73" authorId="1" shapeId="0" xr:uid="{B5FDEAEA-C332-4E2B-8845-33BABE2CA5AC}">
      <text>
        <r>
          <rPr>
            <b/>
            <sz val="9"/>
            <color indexed="81"/>
            <rFont val="Segoe UI"/>
          </rPr>
          <t>Samuel Kruppa:</t>
        </r>
        <r>
          <rPr>
            <sz val="9"/>
            <color indexed="81"/>
            <rFont val="Segoe UI"/>
          </rPr>
          <t xml:space="preserve">
S. 79</t>
        </r>
      </text>
    </comment>
    <comment ref="S73" authorId="1" shapeId="0" xr:uid="{7335F188-C14D-48CD-9B76-BF8BB9A3D64C}">
      <text>
        <r>
          <rPr>
            <b/>
            <sz val="9"/>
            <color indexed="81"/>
            <rFont val="Segoe UI"/>
          </rPr>
          <t>Samuel Kruppa:</t>
        </r>
        <r>
          <rPr>
            <sz val="9"/>
            <color indexed="81"/>
            <rFont val="Segoe UI"/>
          </rPr>
          <t xml:space="preserve">
S. 79</t>
        </r>
      </text>
    </comment>
    <comment ref="U73" authorId="1" shapeId="0" xr:uid="{E8F87C5A-FB9A-482A-AB18-D086AA8ADDAE}">
      <text>
        <r>
          <rPr>
            <b/>
            <sz val="9"/>
            <color indexed="81"/>
            <rFont val="Segoe UI"/>
          </rPr>
          <t>Samuel Kruppa:</t>
        </r>
        <r>
          <rPr>
            <sz val="9"/>
            <color indexed="81"/>
            <rFont val="Segoe UI"/>
          </rPr>
          <t xml:space="preserve">
zwei Ziele: Ziel 1:
85% der aktiven Arbeitnehmer*innen der LEG Nord FM,
der Biomasse Heizkraftwerk Siegerland GmbH &amp; Co. KG
und der TSP–TechnikServicePlus GmbH haben die
Compliance-Schulung absolviert, ZE 190,9%
Ziel 2:
99 % der aktiven Arbeitnehmer*innen der übrigen
Gesellschaften des LEG-Konzerns (§ 15 AktG) haben
die Compliance-Schulung absolviert, ZE 192%
</t>
        </r>
      </text>
    </comment>
    <comment ref="V73" authorId="1" shapeId="0" xr:uid="{39D377F5-B07F-41D8-89AC-A87279B345DB}">
      <text>
        <r>
          <rPr>
            <b/>
            <sz val="9"/>
            <color indexed="81"/>
            <rFont val="Segoe UI"/>
          </rPr>
          <t>Samuel Kruppa:</t>
        </r>
        <r>
          <rPr>
            <sz val="9"/>
            <color indexed="81"/>
            <rFont val="Segoe UI"/>
          </rPr>
          <t xml:space="preserve">
S,79</t>
        </r>
      </text>
    </comment>
    <comment ref="AD73" authorId="1" shapeId="0" xr:uid="{4F81B94B-0944-48D8-B714-908F1DD292DF}">
      <text>
        <r>
          <rPr>
            <b/>
            <sz val="9"/>
            <color indexed="81"/>
            <rFont val="Segoe UI"/>
          </rPr>
          <t>Samuel Kruppa:</t>
        </r>
        <r>
          <rPr>
            <sz val="9"/>
            <color indexed="81"/>
            <rFont val="Segoe UI"/>
          </rPr>
          <t xml:space="preserve">
berechnet nach S.74, CEO</t>
        </r>
      </text>
    </comment>
    <comment ref="AI73" authorId="1" shapeId="0" xr:uid="{441F78D5-23EE-42C1-80D2-007257578574}">
      <text>
        <r>
          <rPr>
            <b/>
            <sz val="9"/>
            <color indexed="81"/>
            <rFont val="Segoe UI"/>
          </rPr>
          <t>Samuel Kruppa:</t>
        </r>
        <r>
          <rPr>
            <sz val="9"/>
            <color indexed="81"/>
            <rFont val="Segoe UI"/>
          </rPr>
          <t xml:space="preserve">
Tranche 2020-23</t>
        </r>
      </text>
    </comment>
    <comment ref="AK73" authorId="1" shapeId="0" xr:uid="{F6464602-431F-4651-B64E-E4FDECDD52D1}">
      <text>
        <r>
          <rPr>
            <b/>
            <sz val="9"/>
            <color indexed="81"/>
            <rFont val="Segoe UI"/>
          </rPr>
          <t>Samuel Kruppa:</t>
        </r>
        <r>
          <rPr>
            <sz val="9"/>
            <color indexed="81"/>
            <rFont val="Segoe UI"/>
          </rPr>
          <t xml:space="preserve">
Die Reduktion der persistenten relativen
CO2-Emissionseinsparungskosten in Euro/
Tonne um 10 %, welche durch dauerhafte
bauliche Anpassungen an Wohngebäuden
der LEG erreicht wird.</t>
        </r>
      </text>
    </comment>
    <comment ref="AP73" authorId="1" shapeId="0" xr:uid="{C18019E0-5627-414A-BA62-D3554080D5A4}">
      <text>
        <r>
          <rPr>
            <b/>
            <sz val="9"/>
            <color indexed="81"/>
            <rFont val="Segoe UI"/>
          </rPr>
          <t>Samuel Kruppa:</t>
        </r>
        <r>
          <rPr>
            <sz val="9"/>
            <color indexed="81"/>
            <rFont val="Segoe UI"/>
          </rPr>
          <t xml:space="preserve">
Messwert des „Trust Index“ für den
LEG-Konzern von mindestens 70 %,
welcher bei der im Jahr 2026 stattfindenden
Mitarbeiterbefragung
„Great Place to Work“ ermittelt wird</t>
        </r>
      </text>
    </comment>
    <comment ref="D74" authorId="1" shapeId="0" xr:uid="{150BC129-16C6-45E9-96C3-AD881180F70A}">
      <text>
        <r>
          <rPr>
            <b/>
            <sz val="9"/>
            <color indexed="81"/>
            <rFont val="Segoe UI"/>
          </rPr>
          <t>Samuel Kruppa:</t>
        </r>
        <r>
          <rPr>
            <sz val="9"/>
            <color indexed="81"/>
            <rFont val="Segoe UI"/>
          </rPr>
          <t xml:space="preserve">
gewährte und geschuldete Vergütung 2023, CEO, S. 7</t>
        </r>
      </text>
    </comment>
    <comment ref="I74" authorId="1" shapeId="0" xr:uid="{4492239F-ECA5-4E0F-A270-3062615E2211}">
      <text>
        <r>
          <rPr>
            <b/>
            <sz val="9"/>
            <color indexed="81"/>
            <rFont val="Segoe UI"/>
          </rPr>
          <t>Samuel Kruppa:</t>
        </r>
        <r>
          <rPr>
            <sz val="9"/>
            <color indexed="81"/>
            <rFont val="Segoe UI"/>
          </rPr>
          <t xml:space="preserve">
CEO, berechnet nach S.8</t>
        </r>
      </text>
    </comment>
    <comment ref="AD74" authorId="1" shapeId="0" xr:uid="{8A3A98DE-03F7-4C9A-A26D-13EA1EDF191E}">
      <text>
        <r>
          <rPr>
            <b/>
            <sz val="9"/>
            <color indexed="81"/>
            <rFont val="Segoe UI"/>
          </rPr>
          <t>Samuel Kruppa:</t>
        </r>
        <r>
          <rPr>
            <sz val="9"/>
            <color indexed="81"/>
            <rFont val="Segoe UI"/>
          </rPr>
          <t xml:space="preserve">
gewährte und geschuldete Vergütung 2023, CEO, S. 7</t>
        </r>
      </text>
    </comment>
    <comment ref="AY74" authorId="1" shapeId="0" xr:uid="{848CE41D-4CD4-4FE8-BCAD-617C9CC4A5F6}">
      <text>
        <r>
          <rPr>
            <b/>
            <sz val="9"/>
            <color indexed="81"/>
            <rFont val="Segoe UI"/>
          </rPr>
          <t>Samuel Kruppa:</t>
        </r>
        <r>
          <rPr>
            <sz val="9"/>
            <color indexed="81"/>
            <rFont val="Segoe UI"/>
          </rPr>
          <t xml:space="preserve">
 Die maximale Auszahlung ist auf einen Bruttobetrag von 2,0 Mio. EUR für ordentliche Vorstandsmitglieder und einen Bruttobetrag von 3,0 Mio. EUR für den Vorstandsvorsitzenden begrenzt.</t>
        </r>
      </text>
    </comment>
    <comment ref="D75" authorId="1" shapeId="0" xr:uid="{07CF9A76-C2BF-4EAF-B00D-34CA2DD39DA8}">
      <text>
        <r>
          <rPr>
            <b/>
            <sz val="9"/>
            <color indexed="81"/>
            <rFont val="Segoe UI"/>
          </rPr>
          <t>Samuel Kruppa:</t>
        </r>
        <r>
          <rPr>
            <sz val="9"/>
            <color indexed="81"/>
            <rFont val="Segoe UI"/>
          </rPr>
          <t xml:space="preserve">
gewährte und geschuldete Vergütung 2023, CEO, S. 11</t>
        </r>
      </text>
    </comment>
    <comment ref="E75" authorId="1" shapeId="0" xr:uid="{61333D21-9F3C-41B2-B7A0-1095BD76EF7C}">
      <text>
        <r>
          <rPr>
            <b/>
            <sz val="9"/>
            <color indexed="81"/>
            <rFont val="Segoe UI"/>
          </rPr>
          <t>Samuel Kruppa:</t>
        </r>
        <r>
          <rPr>
            <sz val="9"/>
            <color indexed="81"/>
            <rFont val="Segoe UI"/>
          </rPr>
          <t xml:space="preserve">
CEO</t>
        </r>
      </text>
    </comment>
    <comment ref="I75" authorId="1" shapeId="0" xr:uid="{AEFBE8D7-2C64-4B08-8AEF-FA6BF270156E}">
      <text>
        <r>
          <rPr>
            <b/>
            <sz val="9"/>
            <color indexed="81"/>
            <rFont val="Segoe UI"/>
          </rPr>
          <t>Samuel Kruppa:</t>
        </r>
        <r>
          <rPr>
            <sz val="9"/>
            <color indexed="81"/>
            <rFont val="Segoe UI"/>
          </rPr>
          <t xml:space="preserve">
CEO</t>
        </r>
      </text>
    </comment>
    <comment ref="R75" authorId="1" shapeId="0" xr:uid="{755A2334-EB39-4DEA-915A-B039A4533344}">
      <text>
        <r>
          <rPr>
            <b/>
            <sz val="9"/>
            <color indexed="81"/>
            <rFont val="Segoe UI"/>
          </rPr>
          <t>Samuel Kruppa:</t>
        </r>
        <r>
          <rPr>
            <sz val="9"/>
            <color indexed="81"/>
            <rFont val="Segoe UI"/>
          </rPr>
          <t xml:space="preserve">
ZE 177,50%</t>
        </r>
      </text>
    </comment>
    <comment ref="AD75" authorId="1" shapeId="0" xr:uid="{B0281CD3-73E4-4166-823E-AA9C5665F180}">
      <text>
        <r>
          <rPr>
            <b/>
            <sz val="9"/>
            <color indexed="81"/>
            <rFont val="Segoe UI"/>
          </rPr>
          <t>Samuel Kruppa:</t>
        </r>
        <r>
          <rPr>
            <sz val="9"/>
            <color indexed="81"/>
            <rFont val="Segoe UI"/>
          </rPr>
          <t xml:space="preserve">
gewährte und geschuldete Vergütung 2023, CEO, S. 11</t>
        </r>
      </text>
    </comment>
    <comment ref="AI75" authorId="1" shapeId="0" xr:uid="{75E025C3-9BD6-4A41-BD7B-C3EF6A8658A8}">
      <text>
        <r>
          <rPr>
            <b/>
            <sz val="9"/>
            <color indexed="81"/>
            <rFont val="Segoe UI"/>
          </rPr>
          <t>Samuel Kruppa:</t>
        </r>
        <r>
          <rPr>
            <sz val="9"/>
            <color indexed="81"/>
            <rFont val="Segoe UI"/>
          </rPr>
          <t xml:space="preserve">
Tranche 21-23</t>
        </r>
      </text>
    </comment>
    <comment ref="D76" authorId="1" shapeId="0" xr:uid="{3971DF6A-9EB0-40B5-BCA9-8F0797D8CD80}">
      <text>
        <r>
          <rPr>
            <b/>
            <sz val="9"/>
            <color indexed="81"/>
            <rFont val="Segoe UI"/>
          </rPr>
          <t>Samuel Kruppa:</t>
        </r>
        <r>
          <rPr>
            <sz val="9"/>
            <color indexed="81"/>
            <rFont val="Segoe UI"/>
          </rPr>
          <t xml:space="preserve">
CEO</t>
        </r>
      </text>
    </comment>
    <comment ref="G76" authorId="1" shapeId="0" xr:uid="{E2AB3BE2-119E-4DAB-94C4-D451AA125B68}">
      <text>
        <r>
          <rPr>
            <b/>
            <sz val="9"/>
            <color indexed="81"/>
            <rFont val="Segoe UI"/>
          </rPr>
          <t>Samuel Kruppa:</t>
        </r>
        <r>
          <rPr>
            <sz val="9"/>
            <color indexed="81"/>
            <rFont val="Segoe UI"/>
          </rPr>
          <t xml:space="preserve">
1 von 4 indv. Zielen des CEO, gemittelt nach S.21 und Sustainability Ziele</t>
        </r>
      </text>
    </comment>
    <comment ref="M76" authorId="1" shapeId="0" xr:uid="{A30D26BF-E41C-4054-A60C-9E64C548B224}">
      <text>
        <r>
          <rPr>
            <b/>
            <sz val="9"/>
            <color indexed="81"/>
            <rFont val="Segoe UI"/>
          </rPr>
          <t>Samuel Kruppa:</t>
        </r>
        <r>
          <rPr>
            <sz val="9"/>
            <color indexed="81"/>
            <rFont val="Segoe UI"/>
          </rPr>
          <t xml:space="preserve">
ZE 100%;100%; 100; 0%; 100%</t>
        </r>
      </text>
    </comment>
    <comment ref="P76" authorId="1" shapeId="0" xr:uid="{149F96EA-B476-4D37-A358-B89920D0C8CD}">
      <text>
        <r>
          <rPr>
            <b/>
            <sz val="9"/>
            <color indexed="81"/>
            <rFont val="Segoe UI"/>
          </rPr>
          <t>Samuel Kruppa:</t>
        </r>
        <r>
          <rPr>
            <sz val="9"/>
            <color indexed="81"/>
            <rFont val="Segoe UI"/>
          </rPr>
          <t xml:space="preserve">
Wohlbefinden, Sicherheit und Entwicklung der Mitarbeitenden (Teil der indv. Ziele), ZE aller indv. Ziele 100%</t>
        </r>
      </text>
    </comment>
    <comment ref="R76" authorId="1" shapeId="0" xr:uid="{ABBC997A-EB23-4E1E-AB9D-8FD77B312417}">
      <text>
        <r>
          <rPr>
            <b/>
            <sz val="9"/>
            <color indexed="81"/>
            <rFont val="Segoe UI"/>
          </rPr>
          <t>Samuel Kruppa:</t>
        </r>
        <r>
          <rPr>
            <sz val="9"/>
            <color indexed="81"/>
            <rFont val="Segoe UI"/>
          </rPr>
          <t xml:space="preserve">
ZE 100%, 100%; 100%, 50% (gemittelt)</t>
        </r>
      </text>
    </comment>
    <comment ref="AD76" authorId="1" shapeId="0" xr:uid="{7AA58349-D9A0-4CE2-B23A-1F9EE310E335}">
      <text>
        <r>
          <rPr>
            <b/>
            <sz val="9"/>
            <color indexed="81"/>
            <rFont val="Segoe UI"/>
          </rPr>
          <t>Samuel Kruppa:</t>
        </r>
        <r>
          <rPr>
            <sz val="9"/>
            <color indexed="81"/>
            <rFont val="Segoe UI"/>
          </rPr>
          <t xml:space="preserve">
CEO</t>
        </r>
      </text>
    </comment>
    <comment ref="AY77" authorId="1" shapeId="0" xr:uid="{6527A056-0EB7-47C9-8BA5-85DD65F90556}">
      <text>
        <r>
          <rPr>
            <b/>
            <sz val="9"/>
            <color indexed="81"/>
            <rFont val="Segoe UI"/>
          </rPr>
          <t>Samuel Kruppa:</t>
        </r>
        <r>
          <rPr>
            <sz val="9"/>
            <color indexed="81"/>
            <rFont val="Segoe UI"/>
          </rPr>
          <t xml:space="preserve">
berechnet nach S.99</t>
        </r>
      </text>
    </comment>
    <comment ref="AD78" authorId="1" shapeId="0" xr:uid="{F8E41BCC-34A8-4EE6-85B1-C1C163D5CC17}">
      <text>
        <r>
          <rPr>
            <b/>
            <sz val="9"/>
            <color indexed="81"/>
            <rFont val="Segoe UI"/>
          </rPr>
          <t>Samuel Kruppa:</t>
        </r>
        <r>
          <rPr>
            <sz val="9"/>
            <color indexed="81"/>
            <rFont val="Segoe UI"/>
          </rPr>
          <t xml:space="preserve">
gewährte und geschuldete Vergütung 2023, CEO, S. 127. große Differenzen zwischen Positionen</t>
        </r>
      </text>
    </comment>
    <comment ref="D79" authorId="1" shapeId="0" xr:uid="{DB61EBEB-0651-4DE7-A91C-2D2791DEF86F}">
      <text>
        <r>
          <rPr>
            <b/>
            <sz val="9"/>
            <color indexed="81"/>
            <rFont val="Segoe UI"/>
          </rPr>
          <t>Samuel Kruppa:</t>
        </r>
        <r>
          <rPr>
            <sz val="9"/>
            <color indexed="81"/>
            <rFont val="Segoe UI"/>
          </rPr>
          <t xml:space="preserve">
CEO, earned remunarionm S.35, der CEO nimmt nicht an den LTI teil</t>
        </r>
      </text>
    </comment>
    <comment ref="AD79" authorId="1" shapeId="0" xr:uid="{76869C83-6E4C-48BF-9EAB-2548B31B2B24}">
      <text>
        <r>
          <rPr>
            <b/>
            <sz val="9"/>
            <color indexed="81"/>
            <rFont val="Segoe UI"/>
          </rPr>
          <t>Samuel Kruppa:</t>
        </r>
        <r>
          <rPr>
            <sz val="9"/>
            <color indexed="81"/>
            <rFont val="Segoe UI"/>
          </rPr>
          <t xml:space="preserve">
CEO, earned remunarionm S.35, der CEO nimmt nicht an den LTI teil</t>
        </r>
      </text>
    </comment>
    <comment ref="D80" authorId="1" shapeId="0" xr:uid="{9EE5B1AE-8B84-4C39-8565-B946DD2A1A7E}">
      <text>
        <r>
          <rPr>
            <b/>
            <sz val="9"/>
            <color indexed="81"/>
            <rFont val="Segoe UI"/>
          </rPr>
          <t>Samuel Kruppa:</t>
        </r>
        <r>
          <rPr>
            <sz val="9"/>
            <color indexed="81"/>
            <rFont val="Segoe UI"/>
          </rPr>
          <t xml:space="preserve">
berechnet nach S.10</t>
        </r>
      </text>
    </comment>
    <comment ref="R80" authorId="1" shapeId="0" xr:uid="{4F826864-BBD9-447A-9610-E738738C9E4C}">
      <text>
        <r>
          <rPr>
            <b/>
            <sz val="9"/>
            <color indexed="81"/>
            <rFont val="Segoe UI"/>
          </rPr>
          <t>Samuel Kruppa:</t>
        </r>
        <r>
          <rPr>
            <sz val="9"/>
            <color indexed="81"/>
            <rFont val="Segoe UI"/>
          </rPr>
          <t xml:space="preserve">
ZE 100,5%; ZE 103,6%</t>
        </r>
      </text>
    </comment>
    <comment ref="W80" authorId="1" shapeId="0" xr:uid="{732438CA-8D6B-49E7-AC67-F21F00563B16}">
      <text>
        <r>
          <rPr>
            <b/>
            <sz val="9"/>
            <color indexed="81"/>
            <rFont val="Segoe UI"/>
          </rPr>
          <t>Samuel Kruppa:</t>
        </r>
        <r>
          <rPr>
            <sz val="9"/>
            <color indexed="81"/>
            <rFont val="Segoe UI"/>
          </rPr>
          <t xml:space="preserve">
ZE 100,5%</t>
        </r>
      </text>
    </comment>
    <comment ref="AD80" authorId="1" shapeId="0" xr:uid="{09D157EC-6AEC-484C-B4F4-D7C3CD426632}">
      <text>
        <r>
          <rPr>
            <b/>
            <sz val="9"/>
            <color indexed="81"/>
            <rFont val="Segoe UI"/>
          </rPr>
          <t>Samuel Kruppa:</t>
        </r>
        <r>
          <rPr>
            <sz val="9"/>
            <color indexed="81"/>
            <rFont val="Segoe UI"/>
          </rPr>
          <t xml:space="preserve">
berechnet nach S.10</t>
        </r>
      </text>
    </comment>
    <comment ref="AI80" authorId="1" shapeId="0" xr:uid="{DEBE81C0-3F40-4645-8DC2-078899212158}">
      <text>
        <r>
          <rPr>
            <b/>
            <sz val="9"/>
            <color indexed="81"/>
            <rFont val="Segoe UI"/>
          </rPr>
          <t>Samuel Kruppa:</t>
        </r>
        <r>
          <rPr>
            <sz val="9"/>
            <color indexed="81"/>
            <rFont val="Segoe UI"/>
          </rPr>
          <t xml:space="preserve">
LTIP 2018, CEO, letzte Auszahlung 2023, S.29</t>
        </r>
      </text>
    </comment>
    <comment ref="K81" authorId="1" shapeId="0" xr:uid="{4D7DC4ED-1EFF-43AD-8903-E0B07A5D74BB}">
      <text>
        <r>
          <rPr>
            <b/>
            <sz val="9"/>
            <color indexed="81"/>
            <rFont val="Segoe UI"/>
          </rPr>
          <t>Samuel Kruppa:</t>
        </r>
        <r>
          <rPr>
            <sz val="9"/>
            <color indexed="81"/>
            <rFont val="Segoe UI"/>
          </rPr>
          <t xml:space="preserve">
Reduktion Greenhouse Gas Emissionen</t>
        </r>
      </text>
    </comment>
    <comment ref="L81" authorId="1" shapeId="0" xr:uid="{D92A4480-F838-48C8-AA70-A7A53E92DB20}">
      <text>
        <r>
          <rPr>
            <b/>
            <sz val="9"/>
            <color indexed="81"/>
            <rFont val="Segoe UI"/>
          </rPr>
          <t>Samuel Kruppa:</t>
        </r>
        <r>
          <rPr>
            <sz val="9"/>
            <color indexed="81"/>
            <rFont val="Segoe UI"/>
          </rPr>
          <t xml:space="preserve">
gemittelt nach S.6</t>
        </r>
      </text>
    </comment>
    <comment ref="N81" authorId="1" shapeId="0" xr:uid="{D17530F9-66E4-4078-B7CD-945F29176653}">
      <text>
        <r>
          <rPr>
            <b/>
            <sz val="9"/>
            <color indexed="81"/>
            <rFont val="Segoe UI"/>
          </rPr>
          <t>Samuel Kruppa:</t>
        </r>
        <r>
          <rPr>
            <sz val="9"/>
            <color indexed="81"/>
            <rFont val="Segoe UI"/>
          </rPr>
          <t xml:space="preserve">
gemittelt nach S.6</t>
        </r>
      </text>
    </comment>
    <comment ref="S81" authorId="1" shapeId="0" xr:uid="{C2B4261E-7B78-4200-A43A-E3A694D2E501}">
      <text>
        <r>
          <rPr>
            <b/>
            <sz val="9"/>
            <color indexed="81"/>
            <rFont val="Segoe UI"/>
          </rPr>
          <t>Samuel Kruppa:</t>
        </r>
        <r>
          <rPr>
            <sz val="9"/>
            <color indexed="81"/>
            <rFont val="Segoe UI"/>
          </rPr>
          <t xml:space="preserve">
gemittelt nach S.6</t>
        </r>
      </text>
    </comment>
    <comment ref="D82" authorId="1" shapeId="0" xr:uid="{A07E7133-ED22-4C0F-9548-4F8494AE0341}">
      <text>
        <r>
          <rPr>
            <b/>
            <sz val="9"/>
            <color indexed="81"/>
            <rFont val="Segoe UI"/>
          </rPr>
          <t>Samuel Kruppa:</t>
        </r>
        <r>
          <rPr>
            <sz val="9"/>
            <color indexed="81"/>
            <rFont val="Segoe UI"/>
          </rPr>
          <t xml:space="preserve">
gewährte und geschuldete Vergütung 2023, CEO, S. 174, keine LTI Auszahlung im Jahr 2023</t>
        </r>
      </text>
    </comment>
    <comment ref="Y82" authorId="1" shapeId="0" xr:uid="{70120672-D3D8-4923-91C1-3EA8FE6A8FE5}">
      <text>
        <r>
          <rPr>
            <b/>
            <sz val="9"/>
            <color indexed="81"/>
            <rFont val="Segoe UI"/>
          </rPr>
          <t>Samuel Kruppa:</t>
        </r>
        <r>
          <rPr>
            <sz val="9"/>
            <color indexed="81"/>
            <rFont val="Segoe UI"/>
          </rPr>
          <t xml:space="preserve">
maximaler Betrag für beide co-CEOs ist 2,44 Mio Euro</t>
        </r>
      </text>
    </comment>
    <comment ref="AD82" authorId="1" shapeId="0" xr:uid="{98CFE608-6E7E-4F58-8438-1BB7A5BF9A34}">
      <text>
        <r>
          <rPr>
            <b/>
            <sz val="9"/>
            <color indexed="81"/>
            <rFont val="Segoe UI"/>
          </rPr>
          <t>Samuel Kruppa:</t>
        </r>
        <r>
          <rPr>
            <sz val="9"/>
            <color indexed="81"/>
            <rFont val="Segoe UI"/>
          </rPr>
          <t xml:space="preserve">
gewährte und geschuldete Vergütung 2023, CEO, S. 174, keine LTI Auszahlung im Jahr 2023</t>
        </r>
      </text>
    </comment>
    <comment ref="AY82" authorId="1" shapeId="0" xr:uid="{741D4DF7-6414-47E7-AF0E-93F27DDB2697}">
      <text>
        <r>
          <rPr>
            <b/>
            <sz val="9"/>
            <color indexed="81"/>
            <rFont val="Segoe UI"/>
          </rPr>
          <t>Samuel Kruppa:</t>
        </r>
        <r>
          <rPr>
            <sz val="9"/>
            <color indexed="81"/>
            <rFont val="Segoe UI"/>
          </rPr>
          <t xml:space="preserve">
maximaler Zuteilungsbetrag 1,5 Mio Euro</t>
        </r>
      </text>
    </comment>
    <comment ref="D83" authorId="1" shapeId="0" xr:uid="{0C0150E1-3F56-4A3A-A985-EF4A7BBE3909}">
      <text>
        <r>
          <rPr>
            <b/>
            <sz val="9"/>
            <color indexed="81"/>
            <rFont val="Segoe UI"/>
          </rPr>
          <t>Samuel Kruppa:</t>
        </r>
        <r>
          <rPr>
            <sz val="9"/>
            <color indexed="81"/>
            <rFont val="Segoe UI"/>
          </rPr>
          <t xml:space="preserve">
aus Diagramm S.178 abgelesen</t>
        </r>
      </text>
    </comment>
    <comment ref="I83" authorId="1" shapeId="0" xr:uid="{ECBA9825-E5AA-437A-B443-415ACEBDCA8B}">
      <text>
        <r>
          <rPr>
            <b/>
            <sz val="9"/>
            <color indexed="81"/>
            <rFont val="Segoe UI"/>
          </rPr>
          <t>Samuel Kruppa:</t>
        </r>
        <r>
          <rPr>
            <sz val="9"/>
            <color indexed="81"/>
            <rFont val="Segoe UI"/>
          </rPr>
          <t xml:space="preserve">
berechnet nach S.179</t>
        </r>
      </text>
    </comment>
    <comment ref="R83" authorId="1" shapeId="0" xr:uid="{03504ABA-1135-4225-BF7D-6B85A89056E8}">
      <text>
        <r>
          <rPr>
            <b/>
            <sz val="9"/>
            <color indexed="81"/>
            <rFont val="Segoe UI"/>
          </rPr>
          <t>Samuel Kruppa:</t>
        </r>
        <r>
          <rPr>
            <sz val="9"/>
            <color indexed="81"/>
            <rFont val="Segoe UI"/>
          </rPr>
          <t xml:space="preserve">
ZA 150%</t>
        </r>
      </text>
    </comment>
    <comment ref="W83" authorId="1" shapeId="0" xr:uid="{5D147ECF-75AB-4CAA-8E8A-5555C264DBEB}">
      <text>
        <r>
          <rPr>
            <b/>
            <sz val="9"/>
            <color indexed="81"/>
            <rFont val="Segoe UI"/>
          </rPr>
          <t>Samuel Kruppa:</t>
        </r>
        <r>
          <rPr>
            <sz val="9"/>
            <color indexed="81"/>
            <rFont val="Segoe UI"/>
          </rPr>
          <t xml:space="preserve">
ZA 150%</t>
        </r>
      </text>
    </comment>
    <comment ref="AD83" authorId="1" shapeId="0" xr:uid="{160B9863-139E-4045-9E09-C6ECE7BD054F}">
      <text>
        <r>
          <rPr>
            <b/>
            <sz val="9"/>
            <color indexed="81"/>
            <rFont val="Segoe UI"/>
          </rPr>
          <t>Samuel Kruppa:</t>
        </r>
        <r>
          <rPr>
            <sz val="9"/>
            <color indexed="81"/>
            <rFont val="Segoe UI"/>
          </rPr>
          <t xml:space="preserve">
asu Diagramm S.178 abgelesen</t>
        </r>
      </text>
    </comment>
    <comment ref="AE83" authorId="1" shapeId="0" xr:uid="{B51BDDD3-E571-42E8-8407-ADFC2D9AECA1}">
      <text>
        <r>
          <rPr>
            <b/>
            <sz val="9"/>
            <color indexed="81"/>
            <rFont val="Segoe UI"/>
          </rPr>
          <t>Samuel Kruppa:</t>
        </r>
        <r>
          <rPr>
            <sz val="9"/>
            <color indexed="81"/>
            <rFont val="Segoe UI"/>
          </rPr>
          <t xml:space="preserve">
Es gibt zwar nichtfinanzielle Kriterien aus Bereich ESG, diese werden allerdings nicht benannt</t>
        </r>
      </text>
    </comment>
    <comment ref="AF83" authorId="1" shapeId="0" xr:uid="{906A5980-7A6D-4532-8F72-9F95140F3128}">
      <text>
        <r>
          <rPr>
            <b/>
            <sz val="9"/>
            <color indexed="81"/>
            <rFont val="Segoe UI"/>
          </rPr>
          <t>Samuel Kruppa:</t>
        </r>
        <r>
          <rPr>
            <sz val="9"/>
            <color indexed="81"/>
            <rFont val="Segoe UI"/>
          </rPr>
          <t xml:space="preserve">
Es gibt zwar nichtfinanzielle Kriterien aus Bereich ESG, diese werden allerdings nicht benannt</t>
        </r>
      </text>
    </comment>
    <comment ref="AG83" authorId="1" shapeId="0" xr:uid="{18EE2DC4-2FE2-4352-9CBF-34FAED10D9AB}">
      <text>
        <r>
          <rPr>
            <b/>
            <sz val="9"/>
            <color indexed="81"/>
            <rFont val="Segoe UI"/>
          </rPr>
          <t>Samuel Kruppa:</t>
        </r>
        <r>
          <rPr>
            <sz val="9"/>
            <color indexed="81"/>
            <rFont val="Segoe UI"/>
          </rPr>
          <t xml:space="preserve">
Es gibt zwar nichtfinanzielle Kriterien aus Bereich ESG, diese werden allerdings nicht benannt</t>
        </r>
      </text>
    </comment>
    <comment ref="AH83" authorId="1" shapeId="0" xr:uid="{AD06C4FB-79B5-4999-898D-9A1B7A16C0EF}">
      <text>
        <r>
          <rPr>
            <b/>
            <sz val="9"/>
            <color indexed="81"/>
            <rFont val="Segoe UI"/>
          </rPr>
          <t>Samuel Kruppa:</t>
        </r>
        <r>
          <rPr>
            <sz val="9"/>
            <color indexed="81"/>
            <rFont val="Segoe UI"/>
          </rPr>
          <t xml:space="preserve">
Es gibt zwar nichtfinanzielle Kriterien aus Bereich ESG, diese werden allerdings nicht benannt</t>
        </r>
      </text>
    </comment>
    <comment ref="AI83" authorId="1" shapeId="0" xr:uid="{3AA3B07E-3F34-40FC-8911-C34770093128}">
      <text>
        <r>
          <rPr>
            <b/>
            <sz val="9"/>
            <color indexed="81"/>
            <rFont val="Segoe UI"/>
          </rPr>
          <t>Samuel Kruppa:</t>
        </r>
        <r>
          <rPr>
            <sz val="9"/>
            <color indexed="81"/>
            <rFont val="Segoe UI"/>
          </rPr>
          <t xml:space="preserve">
Tranche 2020-22</t>
        </r>
      </text>
    </comment>
    <comment ref="D84" authorId="1" shapeId="0" xr:uid="{5662A549-7800-4D94-8D8C-F4ABAF262BFC}">
      <text>
        <r>
          <rPr>
            <b/>
            <sz val="9"/>
            <color indexed="81"/>
            <rFont val="Segoe UI"/>
          </rPr>
          <t>Samuel Kruppa:</t>
        </r>
        <r>
          <rPr>
            <sz val="9"/>
            <color indexed="81"/>
            <rFont val="Segoe UI"/>
          </rPr>
          <t xml:space="preserve">
berechnet nach S.6</t>
        </r>
      </text>
    </comment>
    <comment ref="E84" authorId="1" shapeId="0" xr:uid="{4CABCD12-5AC2-476D-90A1-1066033C11AF}">
      <text>
        <r>
          <rPr>
            <b/>
            <sz val="9"/>
            <color indexed="81"/>
            <rFont val="Segoe UI"/>
          </rPr>
          <t>Samuel Kruppa:</t>
        </r>
        <r>
          <rPr>
            <sz val="9"/>
            <color indexed="81"/>
            <rFont val="Segoe UI"/>
          </rPr>
          <t xml:space="preserve">
Es gibt einen Multiplikator, in dem ESG-Ziele vorkommen können, im Jahr 2023 allerdings nicht.
</t>
        </r>
      </text>
    </comment>
    <comment ref="F84" authorId="1" shapeId="0" xr:uid="{B290809B-D4D9-4D6C-9508-183D21D83194}">
      <text>
        <r>
          <rPr>
            <b/>
            <sz val="9"/>
            <color indexed="81"/>
            <rFont val="Segoe UI"/>
          </rPr>
          <t>Samuel Kruppa:</t>
        </r>
        <r>
          <rPr>
            <sz val="9"/>
            <color indexed="81"/>
            <rFont val="Segoe UI"/>
          </rPr>
          <t xml:space="preserve">
Es gibt einen Multiplikator, in dem ESG-Ziele vorkommen können, im Jahr 2023 allerdings nicht.
</t>
        </r>
      </text>
    </comment>
    <comment ref="I84" authorId="1" shapeId="0" xr:uid="{AD5B267F-8AD4-4B38-811D-79C4BAC188C0}">
      <text>
        <r>
          <rPr>
            <b/>
            <sz val="9"/>
            <color indexed="81"/>
            <rFont val="Segoe UI"/>
          </rPr>
          <t>Samuel Kruppa:</t>
        </r>
        <r>
          <rPr>
            <sz val="9"/>
            <color indexed="81"/>
            <rFont val="Segoe UI"/>
          </rPr>
          <t xml:space="preserve">
CEO,</t>
        </r>
      </text>
    </comment>
    <comment ref="AD84" authorId="1" shapeId="0" xr:uid="{DAAC96F4-DD21-4BBD-9521-2588D7F800EF}">
      <text>
        <r>
          <rPr>
            <b/>
            <sz val="9"/>
            <color indexed="81"/>
            <rFont val="Segoe UI"/>
          </rPr>
          <t>Samuel Kruppa:</t>
        </r>
        <r>
          <rPr>
            <sz val="9"/>
            <color indexed="81"/>
            <rFont val="Segoe UI"/>
          </rPr>
          <t xml:space="preserve">
berechnet nach S.6, Performance Share Plan und ESG-LTI zusammengerechnet</t>
        </r>
      </text>
    </comment>
    <comment ref="AG84" authorId="1" shapeId="0" xr:uid="{93461113-E042-405B-95EB-BD4BAA1C51A9}">
      <text>
        <r>
          <rPr>
            <b/>
            <sz val="9"/>
            <color indexed="81"/>
            <rFont val="Segoe UI"/>
          </rPr>
          <t>Samuel Kruppa:</t>
        </r>
        <r>
          <rPr>
            <sz val="9"/>
            <color indexed="81"/>
            <rFont val="Segoe UI"/>
          </rPr>
          <t xml:space="preserve">
Es gibt getrennte PSP und ESG-Ziele, ich habe sie allerdings zsm gefasst</t>
        </r>
      </text>
    </comment>
    <comment ref="AI84" authorId="1" shapeId="0" xr:uid="{4795E756-C717-4F31-A085-4FEDC4C04D60}">
      <text>
        <r>
          <rPr>
            <b/>
            <sz val="9"/>
            <color indexed="81"/>
            <rFont val="Segoe UI"/>
          </rPr>
          <t>Samuel Kruppa:</t>
        </r>
        <r>
          <rPr>
            <sz val="9"/>
            <color indexed="81"/>
            <rFont val="Segoe UI"/>
          </rPr>
          <t xml:space="preserve">
PSP 2021</t>
        </r>
      </text>
    </comment>
    <comment ref="AK84" authorId="1" shapeId="0" xr:uid="{C654BF49-11F2-4E47-A1D6-44229FED49F6}">
      <text>
        <r>
          <rPr>
            <b/>
            <sz val="9"/>
            <color indexed="81"/>
            <rFont val="Segoe UI"/>
          </rPr>
          <t>Samuel Kruppa:</t>
        </r>
        <r>
          <rPr>
            <sz val="9"/>
            <color indexed="81"/>
            <rFont val="Segoe UI"/>
          </rPr>
          <t xml:space="preserve">
CO2 Reduzierung im Energiemix</t>
        </r>
      </text>
    </comment>
    <comment ref="AY84" authorId="1" shapeId="0" xr:uid="{9C036AEE-8F5D-4530-BECD-54A33E5150AA}">
      <text>
        <r>
          <rPr>
            <b/>
            <sz val="9"/>
            <color indexed="81"/>
            <rFont val="Segoe UI"/>
          </rPr>
          <t>Samuel Kruppa:</t>
        </r>
        <r>
          <rPr>
            <sz val="9"/>
            <color indexed="81"/>
            <rFont val="Segoe UI"/>
          </rPr>
          <t xml:space="preserve">
PSP und ESG-LTI zsm, berechnet nach S.6</t>
        </r>
      </text>
    </comment>
    <comment ref="D85" authorId="1" shapeId="0" xr:uid="{F4DF996C-5AAB-42BA-A94C-8863CB5A53F8}">
      <text>
        <r>
          <rPr>
            <b/>
            <sz val="9"/>
            <color indexed="81"/>
            <rFont val="Segoe UI"/>
          </rPr>
          <t>Samuel Kruppa:</t>
        </r>
        <r>
          <rPr>
            <sz val="9"/>
            <color indexed="81"/>
            <rFont val="Segoe UI"/>
          </rPr>
          <t xml:space="preserve">
Zielvergütung Co-CEOs gemittelt, S.5</t>
        </r>
      </text>
    </comment>
    <comment ref="AD85" authorId="1" shapeId="0" xr:uid="{2A1FCB40-28B8-4A39-8242-05F89DEB612C}">
      <text>
        <r>
          <rPr>
            <b/>
            <sz val="9"/>
            <color indexed="81"/>
            <rFont val="Segoe UI"/>
          </rPr>
          <t>Samuel Kruppa:</t>
        </r>
        <r>
          <rPr>
            <sz val="9"/>
            <color indexed="81"/>
            <rFont val="Segoe UI"/>
          </rPr>
          <t xml:space="preserve">
Zielvergütung Co-CEOs gemittelt, S.5</t>
        </r>
      </text>
    </comment>
    <comment ref="AI85" authorId="1" shapeId="0" xr:uid="{5FFC69A5-BEBE-4BD0-92EA-3484C5152125}">
      <text>
        <r>
          <rPr>
            <b/>
            <sz val="9"/>
            <color indexed="81"/>
            <rFont val="Segoe UI"/>
          </rPr>
          <t>Samuel Kruppa:</t>
        </r>
        <r>
          <rPr>
            <sz val="9"/>
            <color indexed="81"/>
            <rFont val="Segoe UI"/>
          </rPr>
          <t xml:space="preserve">
LTI 2021-23</t>
        </r>
      </text>
    </comment>
    <comment ref="AY85" authorId="1" shapeId="0" xr:uid="{2C786796-1FFC-44A0-836C-A5B1B208EB0F}">
      <text>
        <r>
          <rPr>
            <b/>
            <sz val="9"/>
            <color indexed="81"/>
            <rFont val="Segoe UI"/>
          </rPr>
          <t>Samuel Kruppa:</t>
        </r>
        <r>
          <rPr>
            <sz val="9"/>
            <color indexed="81"/>
            <rFont val="Segoe UI"/>
          </rPr>
          <t xml:space="preserve">
CEO</t>
        </r>
      </text>
    </comment>
    <comment ref="D86" authorId="1" shapeId="0" xr:uid="{5064655F-0CD0-4419-A980-5175E1C49298}">
      <text>
        <r>
          <rPr>
            <b/>
            <sz val="9"/>
            <color indexed="81"/>
            <rFont val="Segoe UI"/>
          </rPr>
          <t>Samuel Kruppa:</t>
        </r>
        <r>
          <rPr>
            <sz val="9"/>
            <color indexed="81"/>
            <rFont val="Segoe UI"/>
          </rPr>
          <t xml:space="preserve">
berechnet nach S.95</t>
        </r>
      </text>
    </comment>
    <comment ref="I86" authorId="1" shapeId="0" xr:uid="{13E8343F-62F1-42E5-9350-C9CE36F38AE0}">
      <text>
        <r>
          <rPr>
            <b/>
            <sz val="9"/>
            <color indexed="81"/>
            <rFont val="Segoe UI"/>
          </rPr>
          <t>Samuel Kruppa:</t>
        </r>
        <r>
          <rPr>
            <sz val="9"/>
            <color indexed="81"/>
            <rFont val="Segoe UI"/>
          </rPr>
          <t xml:space="preserve">
berechnet nach S.98</t>
        </r>
      </text>
    </comment>
    <comment ref="W86" authorId="1" shapeId="0" xr:uid="{91A38942-72ED-4A9C-ADCE-2F3F82993663}">
      <text>
        <r>
          <rPr>
            <b/>
            <sz val="9"/>
            <color indexed="81"/>
            <rFont val="Segoe UI"/>
          </rPr>
          <t>Samuel Kruppa:</t>
        </r>
        <r>
          <rPr>
            <sz val="9"/>
            <color indexed="81"/>
            <rFont val="Segoe UI"/>
          </rPr>
          <t xml:space="preserve">
ZE 167%, berechnet nach S.97-98 (1,67=25/150)</t>
        </r>
      </text>
    </comment>
    <comment ref="Y86" authorId="1" shapeId="0" xr:uid="{078F2451-31C3-46F9-A1B5-4B19F5E976A3}">
      <text>
        <r>
          <rPr>
            <b/>
            <sz val="9"/>
            <color indexed="81"/>
            <rFont val="Segoe UI"/>
          </rPr>
          <t>Samuel Kruppa:</t>
        </r>
        <r>
          <rPr>
            <sz val="9"/>
            <color indexed="81"/>
            <rFont val="Segoe UI"/>
          </rPr>
          <t xml:space="preserve">
berechnet nach S.98</t>
        </r>
      </text>
    </comment>
    <comment ref="AD86" authorId="1" shapeId="0" xr:uid="{C69BC483-DD09-44AE-A4D4-9F28D6E9C65E}">
      <text>
        <r>
          <rPr>
            <b/>
            <sz val="9"/>
            <color indexed="81"/>
            <rFont val="Segoe UI"/>
          </rPr>
          <t>Samuel Kruppa:</t>
        </r>
        <r>
          <rPr>
            <sz val="9"/>
            <color indexed="81"/>
            <rFont val="Segoe UI"/>
          </rPr>
          <t xml:space="preserve">
berechnet nach S.95</t>
        </r>
      </text>
    </comment>
    <comment ref="AI86" authorId="1" shapeId="0" xr:uid="{FB031E9C-0659-4E84-B398-A903719CD3B4}">
      <text>
        <r>
          <rPr>
            <b/>
            <sz val="9"/>
            <color indexed="81"/>
            <rFont val="Segoe UI"/>
          </rPr>
          <t>Samuel Kruppa:</t>
        </r>
        <r>
          <rPr>
            <sz val="9"/>
            <color indexed="81"/>
            <rFont val="Segoe UI"/>
          </rPr>
          <t xml:space="preserve">
Für das Geschäftsjahr 2023, in dem die LTIP-Tranche 2020–2023 endete, entstand keine Vergütung aus dem LTIP, da der für diese Tranche noch allein maßgebliche TSR der TAG-Aktie im maßgeblichen Vierjahreszeitraum 2020 bis 2023 negativ war. Zu- oder Abschläge durch die relative TSR-Performance kamen aufgrund des negativen absoluten TSR nicht mehr zur Anwendung.</t>
        </r>
      </text>
    </comment>
    <comment ref="AK86" authorId="1" shapeId="0" xr:uid="{26BBAE42-0278-478F-8F7E-96538404C48C}">
      <text>
        <r>
          <rPr>
            <b/>
            <sz val="9"/>
            <color indexed="81"/>
            <rFont val="Segoe UI"/>
          </rPr>
          <t>Samuel Kruppa:</t>
        </r>
        <r>
          <rPr>
            <sz val="9"/>
            <color indexed="81"/>
            <rFont val="Segoe UI"/>
          </rPr>
          <t xml:space="preserve">
Reduzierung der CO2-Emissionen innerhalb des deutschen Portfolios um 10%</t>
        </r>
      </text>
    </comment>
    <comment ref="E87" authorId="1" shapeId="0" xr:uid="{69134CF6-6193-471C-92D2-D485F450A588}">
      <text>
        <r>
          <rPr>
            <b/>
            <sz val="9"/>
            <color indexed="81"/>
            <rFont val="Segoe UI"/>
          </rPr>
          <t>Samuel Kruppa:</t>
        </r>
        <r>
          <rPr>
            <sz val="9"/>
            <color indexed="81"/>
            <rFont val="Segoe UI"/>
          </rPr>
          <t xml:space="preserve">
CEO</t>
        </r>
      </text>
    </comment>
    <comment ref="F87" authorId="1" shapeId="0" xr:uid="{9A2F847B-8EE9-4E6A-BCAE-6777144BB69D}">
      <text>
        <r>
          <rPr>
            <b/>
            <sz val="9"/>
            <color indexed="81"/>
            <rFont val="Segoe UI"/>
          </rPr>
          <t>Samuel Kruppa:</t>
        </r>
        <r>
          <rPr>
            <sz val="9"/>
            <color indexed="81"/>
            <rFont val="Segoe UI"/>
          </rPr>
          <t xml:space="preserve">
indv. Faktor (0,75-1,25), der ESG Ziele enthalten kann</t>
        </r>
      </text>
    </comment>
    <comment ref="G87" authorId="1" shapeId="0" xr:uid="{FA71CD49-1181-4C7A-9D82-6136D2B4919A}">
      <text>
        <r>
          <rPr>
            <b/>
            <sz val="9"/>
            <color indexed="81"/>
            <rFont val="Segoe UI"/>
          </rPr>
          <t>Samuel Kruppa:</t>
        </r>
        <r>
          <rPr>
            <sz val="9"/>
            <color indexed="81"/>
            <rFont val="Segoe UI"/>
          </rPr>
          <t xml:space="preserve">
gemittelt nach S.26</t>
        </r>
      </text>
    </comment>
    <comment ref="I87" authorId="1" shapeId="0" xr:uid="{11A1084A-D673-4A24-9D62-418A4D18C04D}">
      <text>
        <r>
          <rPr>
            <b/>
            <sz val="9"/>
            <color indexed="81"/>
            <rFont val="Segoe UI"/>
          </rPr>
          <t>Samuel Kruppa:</t>
        </r>
        <r>
          <rPr>
            <sz val="9"/>
            <color indexed="81"/>
            <rFont val="Segoe UI"/>
          </rPr>
          <t xml:space="preserve">
CEO</t>
        </r>
      </text>
    </comment>
    <comment ref="N87" authorId="1" shapeId="0" xr:uid="{23124987-6663-4421-9311-238F9EE1E59D}">
      <text>
        <r>
          <rPr>
            <b/>
            <sz val="9"/>
            <color indexed="81"/>
            <rFont val="Segoe UI"/>
          </rPr>
          <t>Samuel Kruppa:</t>
        </r>
        <r>
          <rPr>
            <sz val="9"/>
            <color indexed="81"/>
            <rFont val="Segoe UI"/>
          </rPr>
          <t xml:space="preserve">
1 von 5 der indv. Ziele</t>
        </r>
      </text>
    </comment>
    <comment ref="S87" authorId="1" shapeId="0" xr:uid="{19B6BDB6-5874-44E1-BACA-86A683D33B82}">
      <text>
        <r>
          <rPr>
            <b/>
            <sz val="9"/>
            <color indexed="81"/>
            <rFont val="Segoe UI"/>
          </rPr>
          <t>Samuel Kruppa:</t>
        </r>
        <r>
          <rPr>
            <sz val="9"/>
            <color indexed="81"/>
            <rFont val="Segoe UI"/>
          </rPr>
          <t xml:space="preserve">
1 von 5 der indv. Ziele</t>
        </r>
      </text>
    </comment>
    <comment ref="AE87" authorId="1" shapeId="0" xr:uid="{2CD75F80-5D7F-43D8-A8CD-68D95004AF9F}">
      <text>
        <r>
          <rPr>
            <b/>
            <sz val="9"/>
            <color indexed="81"/>
            <rFont val="Segoe UI"/>
          </rPr>
          <t>Samuel Kruppa:</t>
        </r>
        <r>
          <rPr>
            <sz val="9"/>
            <color indexed="81"/>
            <rFont val="Segoe UI"/>
          </rPr>
          <t xml:space="preserve">
CEO</t>
        </r>
      </text>
    </comment>
    <comment ref="AF87" authorId="1" shapeId="0" xr:uid="{4AD1D124-71D8-47F1-9B8B-BA3652D2AB93}">
      <text>
        <r>
          <rPr>
            <b/>
            <sz val="9"/>
            <color indexed="81"/>
            <rFont val="Segoe UI"/>
          </rPr>
          <t>Samuel Kruppa:</t>
        </r>
        <r>
          <rPr>
            <sz val="9"/>
            <color indexed="81"/>
            <rFont val="Segoe UI"/>
          </rPr>
          <t xml:space="preserve">
indv. Faktor (0,75-1,25), der ESG Ziele enthalten kann</t>
        </r>
      </text>
    </comment>
    <comment ref="AG87" authorId="1" shapeId="0" xr:uid="{7C90A0A2-38A0-42D7-9B34-A37A803A8433}">
      <text>
        <r>
          <rPr>
            <b/>
            <sz val="9"/>
            <color indexed="81"/>
            <rFont val="Segoe UI"/>
          </rPr>
          <t>Samuel Kruppa:</t>
        </r>
        <r>
          <rPr>
            <sz val="9"/>
            <color indexed="81"/>
            <rFont val="Segoe UI"/>
          </rPr>
          <t xml:space="preserve">
gemittelt nach S.26</t>
        </r>
      </text>
    </comment>
    <comment ref="AI87" authorId="1" shapeId="0" xr:uid="{CDCB1C5B-B405-4FEE-AE71-8FBE1BDECA63}">
      <text>
        <r>
          <rPr>
            <b/>
            <sz val="9"/>
            <color indexed="81"/>
            <rFont val="Segoe UI"/>
          </rPr>
          <t>Samuel Kruppa:</t>
        </r>
        <r>
          <rPr>
            <sz val="9"/>
            <color indexed="81"/>
            <rFont val="Segoe UI"/>
          </rPr>
          <t xml:space="preserve">
CEO</t>
        </r>
      </text>
    </comment>
    <comment ref="AN87" authorId="1" shapeId="0" xr:uid="{E808F53E-7723-49F9-9C7C-3B00C461B904}">
      <text>
        <r>
          <rPr>
            <b/>
            <sz val="9"/>
            <color indexed="81"/>
            <rFont val="Segoe UI"/>
          </rPr>
          <t>Samuel Kruppa:</t>
        </r>
        <r>
          <rPr>
            <sz val="9"/>
            <color indexed="81"/>
            <rFont val="Segoe UI"/>
          </rPr>
          <t xml:space="preserve">
1 von 5 der indv. Ziele</t>
        </r>
      </text>
    </comment>
    <comment ref="AS87" authorId="1" shapeId="0" xr:uid="{E547D57B-01D9-4634-84DC-5F4C0C69A716}">
      <text>
        <r>
          <rPr>
            <b/>
            <sz val="9"/>
            <color indexed="81"/>
            <rFont val="Segoe UI"/>
          </rPr>
          <t>Samuel Kruppa:</t>
        </r>
        <r>
          <rPr>
            <sz val="9"/>
            <color indexed="81"/>
            <rFont val="Segoe UI"/>
          </rPr>
          <t xml:space="preserve">
1 von 5 der indv. Ziele</t>
        </r>
      </text>
    </comment>
    <comment ref="D88" authorId="1" shapeId="0" xr:uid="{BF39149F-5442-4C81-8C07-9B8D5FDFCFA1}">
      <text>
        <r>
          <rPr>
            <b/>
            <sz val="9"/>
            <color indexed="81"/>
            <rFont val="Segoe UI"/>
          </rPr>
          <t>Samuel Kruppa:</t>
        </r>
        <r>
          <rPr>
            <sz val="9"/>
            <color indexed="81"/>
            <rFont val="Segoe UI"/>
          </rPr>
          <t xml:space="preserve">
gemittelt nach S.5</t>
        </r>
      </text>
    </comment>
    <comment ref="F88" authorId="1" shapeId="0" xr:uid="{187B18EE-D62B-4D8A-A880-77B1F6ED3BC7}">
      <text>
        <r>
          <rPr>
            <b/>
            <sz val="9"/>
            <color indexed="81"/>
            <rFont val="Segoe UI"/>
          </rPr>
          <t>Samuel Kruppa:</t>
        </r>
        <r>
          <rPr>
            <sz val="9"/>
            <color indexed="81"/>
            <rFont val="Segoe UI"/>
          </rPr>
          <t xml:space="preserve">
indv. Leistungsfaktor (0,8 -1,2); der ESG Ziele enthalten kann</t>
        </r>
      </text>
    </comment>
    <comment ref="G88" authorId="1" shapeId="0" xr:uid="{F665D199-CC28-45BB-B7EB-3C46E8639EDA}">
      <text>
        <r>
          <rPr>
            <b/>
            <sz val="9"/>
            <color indexed="81"/>
            <rFont val="Segoe UI"/>
          </rPr>
          <t>Samuel Kruppa:</t>
        </r>
        <r>
          <rPr>
            <sz val="9"/>
            <color indexed="81"/>
            <rFont val="Segoe UI"/>
          </rPr>
          <t xml:space="preserve">
CEO, 1 von 6 genannten Zielen ist ESG</t>
        </r>
      </text>
    </comment>
    <comment ref="I88" authorId="1" shapeId="0" xr:uid="{6668B2D4-AFE9-4A03-BA2A-52E6E52E928A}">
      <text>
        <r>
          <rPr>
            <b/>
            <sz val="9"/>
            <color indexed="81"/>
            <rFont val="Segoe UI"/>
          </rPr>
          <t>Samuel Kruppa:</t>
        </r>
        <r>
          <rPr>
            <sz val="9"/>
            <color indexed="81"/>
            <rFont val="Segoe UI"/>
          </rPr>
          <t xml:space="preserve">
berechnet nach S.8-9</t>
        </r>
      </text>
    </comment>
    <comment ref="AD88" authorId="1" shapeId="0" xr:uid="{4CB8E5B4-6979-4EC7-8759-09E4FAD04A35}">
      <text>
        <r>
          <rPr>
            <b/>
            <sz val="9"/>
            <color indexed="81"/>
            <rFont val="Segoe UI"/>
          </rPr>
          <t>Samuel Kruppa:</t>
        </r>
        <r>
          <rPr>
            <sz val="9"/>
            <color indexed="81"/>
            <rFont val="Segoe UI"/>
          </rPr>
          <t xml:space="preserve">
gemittelt nach S.5</t>
        </r>
      </text>
    </comment>
    <comment ref="AI88" authorId="1" shapeId="0" xr:uid="{5D0554F4-1670-41B7-8FF0-052C713CF9E7}">
      <text>
        <r>
          <rPr>
            <b/>
            <sz val="9"/>
            <color indexed="81"/>
            <rFont val="Segoe UI"/>
            <family val="2"/>
          </rPr>
          <t>Samuel Kruppa:</t>
        </r>
        <r>
          <rPr>
            <sz val="9"/>
            <color indexed="81"/>
            <rFont val="Segoe UI"/>
            <family val="2"/>
          </rPr>
          <t xml:space="preserve">
LTI 2020-23</t>
        </r>
      </text>
    </comment>
    <comment ref="AR88" authorId="1" shapeId="0" xr:uid="{783EC77D-12D2-418F-9400-54FDEFC7C1F2}">
      <text>
        <r>
          <rPr>
            <b/>
            <sz val="9"/>
            <color indexed="81"/>
            <rFont val="Segoe UI"/>
            <family val="2"/>
          </rPr>
          <t>Samuel Kruppa:</t>
        </r>
        <r>
          <rPr>
            <sz val="9"/>
            <color indexed="81"/>
            <rFont val="Segoe UI"/>
            <family val="2"/>
          </rPr>
          <t xml:space="preserve">
ZE je 0%</t>
        </r>
      </text>
    </comment>
    <comment ref="AW88" authorId="1" shapeId="0" xr:uid="{C8E19924-66CF-449F-B495-A1FB114F4086}">
      <text>
        <r>
          <rPr>
            <b/>
            <sz val="9"/>
            <color indexed="81"/>
            <rFont val="Segoe UI"/>
            <family val="2"/>
          </rPr>
          <t>Samuel Kruppa:</t>
        </r>
        <r>
          <rPr>
            <sz val="9"/>
            <color indexed="81"/>
            <rFont val="Segoe UI"/>
            <family val="2"/>
          </rPr>
          <t xml:space="preserve">
ZE 0%</t>
        </r>
      </text>
    </comment>
    <comment ref="D90" authorId="1" shapeId="0" xr:uid="{A9FD6961-A22F-4E7D-B8B8-FED4821AAF0F}">
      <text>
        <r>
          <rPr>
            <b/>
            <sz val="9"/>
            <color indexed="81"/>
            <rFont val="Segoe UI"/>
          </rPr>
          <t>Samuel Kruppa:</t>
        </r>
        <r>
          <rPr>
            <sz val="9"/>
            <color indexed="81"/>
            <rFont val="Segoe UI"/>
          </rPr>
          <t xml:space="preserve">
Zielvergütung 2022/23, CEO, S. 325</t>
        </r>
      </text>
    </comment>
    <comment ref="AD90" authorId="1" shapeId="0" xr:uid="{7ADC30B2-9A16-4914-9F29-95848625E262}">
      <text>
        <r>
          <rPr>
            <b/>
            <sz val="9"/>
            <color indexed="81"/>
            <rFont val="Segoe UI"/>
          </rPr>
          <t>Samuel Kruppa:</t>
        </r>
        <r>
          <rPr>
            <sz val="9"/>
            <color indexed="81"/>
            <rFont val="Segoe UI"/>
          </rPr>
          <t xml:space="preserve">
Zielvergütung 2022/23, CEO, S. 325</t>
        </r>
      </text>
    </comment>
    <comment ref="AI90" authorId="1" shapeId="0" xr:uid="{C10FE25B-2572-49B1-9955-B32EE12A560F}">
      <text>
        <r>
          <rPr>
            <b/>
            <sz val="9"/>
            <color indexed="81"/>
            <rFont val="Segoe UI"/>
            <family val="2"/>
          </rPr>
          <t>Samuel Kruppa:</t>
        </r>
        <r>
          <rPr>
            <sz val="9"/>
            <color indexed="81"/>
            <rFont val="Segoe UI"/>
            <family val="2"/>
          </rPr>
          <t xml:space="preserve">
LTI 2022/23-2025/26: Jahresbezogene ZE 2022/23</t>
        </r>
      </text>
    </comment>
    <comment ref="AP90" authorId="1" shapeId="0" xr:uid="{995AA011-283B-459D-8729-AFBA4708D28F}">
      <text>
        <r>
          <rPr>
            <b/>
            <sz val="9"/>
            <color indexed="81"/>
            <rFont val="Segoe UI"/>
            <family val="2"/>
          </rPr>
          <t>Samuel Kruppa:</t>
        </r>
        <r>
          <rPr>
            <sz val="9"/>
            <color indexed="81"/>
            <rFont val="Segoe UI"/>
            <family val="2"/>
          </rPr>
          <t xml:space="preserve">
Employee Net Promoter Score, ZE 140%</t>
        </r>
      </text>
    </comment>
    <comment ref="AR90" authorId="1" shapeId="0" xr:uid="{5C0C1204-6A0A-4694-BC59-94C0D111F03C}">
      <text>
        <r>
          <rPr>
            <b/>
            <sz val="9"/>
            <color indexed="81"/>
            <rFont val="Segoe UI"/>
            <family val="2"/>
          </rPr>
          <t>Samuel Kruppa:</t>
        </r>
        <r>
          <rPr>
            <sz val="9"/>
            <color indexed="81"/>
            <rFont val="Segoe UI"/>
            <family val="2"/>
          </rPr>
          <t xml:space="preserve">
ZE 161%</t>
        </r>
      </text>
    </comment>
    <comment ref="AW90" authorId="1" shapeId="0" xr:uid="{9EEC2D14-0AA4-4ACE-9A18-644C92A7A119}">
      <text>
        <r>
          <rPr>
            <b/>
            <sz val="9"/>
            <color indexed="81"/>
            <rFont val="Segoe UI"/>
            <family val="2"/>
          </rPr>
          <t>Samuel Kruppa:</t>
        </r>
        <r>
          <rPr>
            <sz val="9"/>
            <color indexed="81"/>
            <rFont val="Segoe UI"/>
            <family val="2"/>
          </rPr>
          <t xml:space="preserve">
ZE 161%</t>
        </r>
      </text>
    </comment>
    <comment ref="D91" authorId="1" shapeId="0" xr:uid="{A7431DA3-8D81-4551-9C2C-235342429ECD}">
      <text>
        <r>
          <rPr>
            <b/>
            <sz val="9"/>
            <color indexed="81"/>
            <rFont val="Segoe UI"/>
            <family val="2"/>
          </rPr>
          <t>Samuel Kruppa:</t>
        </r>
        <r>
          <rPr>
            <sz val="9"/>
            <color indexed="81"/>
            <rFont val="Segoe UI"/>
            <family val="2"/>
          </rPr>
          <t xml:space="preserve">
gemittelt nach S.5</t>
        </r>
      </text>
    </comment>
    <comment ref="M91" authorId="1" shapeId="0" xr:uid="{1B78CE7F-D2A1-45C3-92AF-FF8D0A4E4E20}">
      <text>
        <r>
          <rPr>
            <b/>
            <sz val="9"/>
            <color indexed="81"/>
            <rFont val="Segoe UI"/>
            <family val="2"/>
          </rPr>
          <t>Samuel Kruppa:</t>
        </r>
        <r>
          <rPr>
            <sz val="9"/>
            <color indexed="81"/>
            <rFont val="Segoe UI"/>
            <family val="2"/>
          </rPr>
          <t xml:space="preserve">
100%</t>
        </r>
      </text>
    </comment>
    <comment ref="R91" authorId="1" shapeId="0" xr:uid="{41ABC786-785E-479C-89EB-720CB63B2259}">
      <text>
        <r>
          <rPr>
            <b/>
            <sz val="9"/>
            <color indexed="81"/>
            <rFont val="Segoe UI"/>
            <family val="2"/>
          </rPr>
          <t>Samuel Kruppa:</t>
        </r>
        <r>
          <rPr>
            <sz val="9"/>
            <color indexed="81"/>
            <rFont val="Segoe UI"/>
            <family val="2"/>
          </rPr>
          <t xml:space="preserve">
ZE 102%</t>
        </r>
      </text>
    </comment>
    <comment ref="AD91" authorId="1" shapeId="0" xr:uid="{378A4D75-1D2F-40B2-9899-0C26B8114DCE}">
      <text>
        <r>
          <rPr>
            <b/>
            <sz val="9"/>
            <color indexed="81"/>
            <rFont val="Segoe UI"/>
            <family val="2"/>
          </rPr>
          <t>Samuel Kruppa:</t>
        </r>
        <r>
          <rPr>
            <sz val="9"/>
            <color indexed="81"/>
            <rFont val="Segoe UI"/>
            <family val="2"/>
          </rPr>
          <t xml:space="preserve">
gemittelt nach S.5</t>
        </r>
      </text>
    </comment>
    <comment ref="D92" authorId="1" shapeId="0" xr:uid="{83EF0910-E7D1-4C28-B8A8-D405B2AD2195}">
      <text>
        <r>
          <rPr>
            <b/>
            <sz val="9"/>
            <color indexed="81"/>
            <rFont val="Segoe UI"/>
            <charset val="1"/>
          </rPr>
          <t>Samuel Kruppa:</t>
        </r>
        <r>
          <rPr>
            <sz val="9"/>
            <color indexed="81"/>
            <rFont val="Segoe UI"/>
            <charset val="1"/>
          </rPr>
          <t xml:space="preserve">
gemittelt nach S.51</t>
        </r>
      </text>
    </comment>
    <comment ref="F92" authorId="1" shapeId="0" xr:uid="{56724872-E57C-43CD-95A4-628C29711DD0}">
      <text>
        <r>
          <rPr>
            <b/>
            <sz val="9"/>
            <color indexed="81"/>
            <rFont val="Segoe UI"/>
            <charset val="1"/>
          </rPr>
          <t>Samuel Kruppa:</t>
        </r>
        <r>
          <rPr>
            <sz val="9"/>
            <color indexed="81"/>
            <rFont val="Segoe UI"/>
            <charset val="1"/>
          </rPr>
          <t xml:space="preserve">
Personal Contribution Factor (0,8-1,2)</t>
        </r>
      </text>
    </comment>
    <comment ref="G92" authorId="1" shapeId="0" xr:uid="{118896D7-7A85-4979-9BA2-DFF878F71C27}">
      <text>
        <r>
          <rPr>
            <b/>
            <sz val="9"/>
            <color indexed="81"/>
            <rFont val="Segoe UI"/>
            <charset val="1"/>
          </rPr>
          <t>Samuel Kruppa:</t>
        </r>
        <r>
          <rPr>
            <sz val="9"/>
            <color indexed="81"/>
            <rFont val="Segoe UI"/>
            <charset val="1"/>
          </rPr>
          <t xml:space="preserve">
1 von 3 Zielen aus dem Faktor</t>
        </r>
      </text>
    </comment>
    <comment ref="AD92" authorId="1" shapeId="0" xr:uid="{721E61F9-526F-46FF-A8DB-F2630035191C}">
      <text>
        <r>
          <rPr>
            <b/>
            <sz val="9"/>
            <color indexed="81"/>
            <rFont val="Segoe UI"/>
            <charset val="1"/>
          </rPr>
          <t>Samuel Kruppa:</t>
        </r>
        <r>
          <rPr>
            <sz val="9"/>
            <color indexed="81"/>
            <rFont val="Segoe UI"/>
            <charset val="1"/>
          </rPr>
          <t xml:space="preserve">
gemittelt nach S.51</t>
        </r>
      </text>
    </comment>
    <comment ref="AF92" authorId="1" shapeId="0" xr:uid="{8B7286DD-8508-4156-AB8D-0CE288C259AD}">
      <text>
        <r>
          <rPr>
            <b/>
            <sz val="9"/>
            <color indexed="81"/>
            <rFont val="Segoe UI"/>
            <charset val="1"/>
          </rPr>
          <t>Samuel Kruppa:</t>
        </r>
        <r>
          <rPr>
            <sz val="9"/>
            <color indexed="81"/>
            <rFont val="Segoe UI"/>
            <charset val="1"/>
          </rPr>
          <t xml:space="preserve">
Nachhaltigkeitsscore (0,7-1,3), der mit jedem erreichten Ziel um 0,12 steigt vom Basiswert 0,7</t>
        </r>
      </text>
    </comment>
    <comment ref="AK92" authorId="1" shapeId="0" xr:uid="{F798DA4D-09D9-48DA-8228-AC0760EA8F7C}">
      <text>
        <r>
          <rPr>
            <b/>
            <sz val="9"/>
            <color indexed="81"/>
            <rFont val="Segoe UI"/>
            <charset val="1"/>
          </rPr>
          <t>Samuel Kruppa:</t>
        </r>
        <r>
          <rPr>
            <sz val="9"/>
            <color indexed="81"/>
            <rFont val="Segoe UI"/>
            <charset val="1"/>
          </rPr>
          <t xml:space="preserve">
Reduzierung absoluter Treibhausemissionen Scope 1 und 2</t>
        </r>
      </text>
    </comment>
    <comment ref="AL92" authorId="1" shapeId="0" xr:uid="{C5F9DB82-2F64-4FF1-B93C-F736A2963EB7}">
      <text>
        <r>
          <rPr>
            <b/>
            <sz val="9"/>
            <color indexed="81"/>
            <rFont val="Segoe UI"/>
            <charset val="1"/>
          </rPr>
          <t>Samuel Kruppa:</t>
        </r>
        <r>
          <rPr>
            <sz val="9"/>
            <color indexed="81"/>
            <rFont val="Segoe UI"/>
            <charset val="1"/>
          </rPr>
          <t xml:space="preserve">
1 von 5 ESG zielen</t>
        </r>
      </text>
    </comment>
    <comment ref="AN92" authorId="1" shapeId="0" xr:uid="{763F938C-4E41-439A-8144-3844A76969BA}">
      <text>
        <r>
          <rPr>
            <b/>
            <sz val="9"/>
            <color indexed="81"/>
            <rFont val="Segoe UI"/>
            <charset val="1"/>
          </rPr>
          <t>Samuel Kruppa:</t>
        </r>
        <r>
          <rPr>
            <sz val="9"/>
            <color indexed="81"/>
            <rFont val="Segoe UI"/>
            <charset val="1"/>
          </rPr>
          <t xml:space="preserve">
1 von 5 ESG zielen</t>
        </r>
      </text>
    </comment>
    <comment ref="AP92" authorId="1" shapeId="0" xr:uid="{4B71A48A-180F-4677-8C96-35967CF9BCBB}">
      <text>
        <r>
          <rPr>
            <b/>
            <sz val="9"/>
            <color indexed="81"/>
            <rFont val="Segoe UI"/>
            <charset val="1"/>
          </rPr>
          <t>Samuel Kruppa:</t>
        </r>
        <r>
          <rPr>
            <sz val="9"/>
            <color indexed="81"/>
            <rFont val="Segoe UI"/>
            <charset val="1"/>
          </rPr>
          <t xml:space="preserve">
Employee Net Promoter Score</t>
        </r>
      </text>
    </comment>
    <comment ref="AQ92" authorId="1" shapeId="0" xr:uid="{203CFCE9-96B9-4FA4-810B-D72F75CE1FC9}">
      <text>
        <r>
          <rPr>
            <b/>
            <sz val="9"/>
            <color indexed="81"/>
            <rFont val="Segoe UI"/>
            <charset val="1"/>
          </rPr>
          <t>Samuel Kruppa:</t>
        </r>
        <r>
          <rPr>
            <sz val="9"/>
            <color indexed="81"/>
            <rFont val="Segoe UI"/>
            <charset val="1"/>
          </rPr>
          <t xml:space="preserve">
1 von 5 ESG zielen</t>
        </r>
      </text>
    </comment>
    <comment ref="AS92" authorId="1" shapeId="0" xr:uid="{1827F8F3-7564-4352-82C1-C5044E4C4648}">
      <text>
        <r>
          <rPr>
            <b/>
            <sz val="9"/>
            <color indexed="81"/>
            <rFont val="Segoe UI"/>
            <charset val="1"/>
          </rPr>
          <t>Samuel Kruppa:</t>
        </r>
        <r>
          <rPr>
            <sz val="9"/>
            <color indexed="81"/>
            <rFont val="Segoe UI"/>
            <charset val="1"/>
          </rPr>
          <t xml:space="preserve">
1 von 5 ESG zielen</t>
        </r>
      </text>
    </comment>
    <comment ref="AX92" authorId="1" shapeId="0" xr:uid="{96B42010-AD89-4874-9037-73581CA1914D}">
      <text>
        <r>
          <rPr>
            <b/>
            <sz val="9"/>
            <color indexed="81"/>
            <rFont val="Segoe UI"/>
            <charset val="1"/>
          </rPr>
          <t>Samuel Kruppa:</t>
        </r>
        <r>
          <rPr>
            <sz val="9"/>
            <color indexed="81"/>
            <rFont val="Segoe UI"/>
            <charset val="1"/>
          </rPr>
          <t xml:space="preserve">
1 von 5 ESG zielen</t>
        </r>
      </text>
    </comment>
    <comment ref="D93" authorId="1" shapeId="0" xr:uid="{0346BC70-62BB-4E95-A752-3A19CD8F39F7}">
      <text>
        <r>
          <rPr>
            <b/>
            <sz val="9"/>
            <color indexed="81"/>
            <rFont val="Segoe UI"/>
          </rPr>
          <t>Samuel Kruppa:</t>
        </r>
        <r>
          <rPr>
            <sz val="9"/>
            <color indexed="81"/>
            <rFont val="Segoe UI"/>
          </rPr>
          <t xml:space="preserve">
gewährte und geschuldete Vergütung 2023, CEO, S. 11</t>
        </r>
      </text>
    </comment>
    <comment ref="AD93" authorId="1" shapeId="0" xr:uid="{76974DAB-38A8-4198-A00C-FD79DE14CA60}">
      <text>
        <r>
          <rPr>
            <b/>
            <sz val="9"/>
            <color indexed="81"/>
            <rFont val="Segoe UI"/>
          </rPr>
          <t>Samuel Kruppa:</t>
        </r>
        <r>
          <rPr>
            <sz val="9"/>
            <color indexed="81"/>
            <rFont val="Segoe UI"/>
          </rPr>
          <t xml:space="preserve">
gewährte und geschuldete Vergütung 2023, CEO, S. 11</t>
        </r>
      </text>
    </comment>
    <comment ref="AK93" authorId="1" shapeId="0" xr:uid="{53A878C7-E95A-4D0D-B1E4-257190B6FAA6}">
      <text>
        <r>
          <rPr>
            <b/>
            <sz val="9"/>
            <color indexed="81"/>
            <rFont val="Segoe UI"/>
          </rPr>
          <t>Samuel Kruppa:</t>
        </r>
        <r>
          <rPr>
            <sz val="9"/>
            <color indexed="81"/>
            <rFont val="Segoe UI"/>
          </rPr>
          <t xml:space="preserve">
Reduktion CO2 Emissionen, ZE 200%</t>
        </r>
      </text>
    </comment>
    <comment ref="AR93" authorId="1" shapeId="0" xr:uid="{E22A2543-E5FB-4360-80E9-0EE692F3B38A}">
      <text>
        <r>
          <rPr>
            <b/>
            <sz val="9"/>
            <color indexed="81"/>
            <rFont val="Segoe UI"/>
          </rPr>
          <t>Samuel Kruppa:</t>
        </r>
        <r>
          <rPr>
            <sz val="9"/>
            <color indexed="81"/>
            <rFont val="Segoe UI"/>
          </rPr>
          <t xml:space="preserve">
ZE 100%</t>
        </r>
      </text>
    </comment>
  </commentList>
</comments>
</file>

<file path=xl/sharedStrings.xml><?xml version="1.0" encoding="utf-8"?>
<sst xmlns="http://schemas.openxmlformats.org/spreadsheetml/2006/main" count="699" uniqueCount="502">
  <si>
    <t>DAX</t>
  </si>
  <si>
    <t>Airbus</t>
  </si>
  <si>
    <t>Allianz</t>
  </si>
  <si>
    <t>BASF</t>
  </si>
  <si>
    <t>Bayer</t>
  </si>
  <si>
    <t>Beiersdorf</t>
  </si>
  <si>
    <t>BMW</t>
  </si>
  <si>
    <t>Brenntag</t>
  </si>
  <si>
    <t>Commerzbank</t>
  </si>
  <si>
    <t>Continental</t>
  </si>
  <si>
    <t>Covestro</t>
  </si>
  <si>
    <t>Daimler Truck</t>
  </si>
  <si>
    <t>Deutsche Bank</t>
  </si>
  <si>
    <t>Deutsche Börse</t>
  </si>
  <si>
    <t>Deutsche Post</t>
  </si>
  <si>
    <t>Deutsche Telekom</t>
  </si>
  <si>
    <t>E.ON</t>
  </si>
  <si>
    <t>Fresenius</t>
  </si>
  <si>
    <t>Hannover Rück</t>
  </si>
  <si>
    <t>Heidelberg Materials</t>
  </si>
  <si>
    <t>Henkel</t>
  </si>
  <si>
    <t>Infineon</t>
  </si>
  <si>
    <t>Mercedes-Benz Group</t>
  </si>
  <si>
    <t>Merck</t>
  </si>
  <si>
    <t>MTU Aero Engines</t>
  </si>
  <si>
    <t>Münchener Rück</t>
  </si>
  <si>
    <t>Porsche AG</t>
  </si>
  <si>
    <t>Porsche SE</t>
  </si>
  <si>
    <t>Qiagen</t>
  </si>
  <si>
    <t>Rheinmetall</t>
  </si>
  <si>
    <t>RWE</t>
  </si>
  <si>
    <t>SAP</t>
  </si>
  <si>
    <t>Sartorius</t>
  </si>
  <si>
    <t>Siemens</t>
  </si>
  <si>
    <t>Siemens Energy</t>
  </si>
  <si>
    <t>Siemens Healthineers</t>
  </si>
  <si>
    <t>Symrise</t>
  </si>
  <si>
    <t>Volkswagen</t>
  </si>
  <si>
    <t>Vonovia</t>
  </si>
  <si>
    <t>Zalando</t>
  </si>
  <si>
    <t>Aixtron SE</t>
  </si>
  <si>
    <t>MDAX</t>
  </si>
  <si>
    <t>Aroundtown S.A.</t>
  </si>
  <si>
    <t>Aurubis AG</t>
  </si>
  <si>
    <t>Bechtle AG</t>
  </si>
  <si>
    <t>Carl Zeiss Meditec AG</t>
  </si>
  <si>
    <t>2022/23</t>
  </si>
  <si>
    <t>CTS Eventim AG &amp; Co. KGaA</t>
  </si>
  <si>
    <t>Delivery Hero SE</t>
  </si>
  <si>
    <t>Deutsche Lufthansa AG</t>
  </si>
  <si>
    <t>Encavis AG</t>
  </si>
  <si>
    <t>Evonik Industries AG</t>
  </si>
  <si>
    <t>Evotec SE</t>
  </si>
  <si>
    <t>Fraport AG</t>
  </si>
  <si>
    <t>Freenet AG</t>
  </si>
  <si>
    <t>Fresenius Medical Care AG</t>
  </si>
  <si>
    <t>Fuchs SE</t>
  </si>
  <si>
    <t>GEA Group AG</t>
  </si>
  <si>
    <t>Gerresheimer AG</t>
  </si>
  <si>
    <t>Hella GmbH &amp; Co. KGaA</t>
  </si>
  <si>
    <t>HelloFresh SE</t>
  </si>
  <si>
    <t>Hensoldt AG</t>
  </si>
  <si>
    <t>Hochtief AG</t>
  </si>
  <si>
    <t>Hugo Boss AG</t>
  </si>
  <si>
    <t>Jenoptik AG</t>
  </si>
  <si>
    <t>Jungheinrich AG</t>
  </si>
  <si>
    <t>K+S AG</t>
  </si>
  <si>
    <t>Kion Group AG</t>
  </si>
  <si>
    <t>Knorr-Bremse AG</t>
  </si>
  <si>
    <t>Krones AG</t>
  </si>
  <si>
    <t>Lanxess AG</t>
  </si>
  <si>
    <t>LEG Immobilien AG</t>
  </si>
  <si>
    <t>Nemetschek SE</t>
  </si>
  <si>
    <t>Nordex SE</t>
  </si>
  <si>
    <t>Puma SE</t>
  </si>
  <si>
    <t>Rational AG</t>
  </si>
  <si>
    <t>Redcare Pharmacy N.V.</t>
  </si>
  <si>
    <t>RTL Group S.A.</t>
  </si>
  <si>
    <t>Scout24 SE</t>
  </si>
  <si>
    <t>Siltronic AG</t>
  </si>
  <si>
    <t>Sixt SE</t>
  </si>
  <si>
    <t>SMA Solar Technology AG</t>
  </si>
  <si>
    <t>Stabilus SE</t>
  </si>
  <si>
    <t>Ströer SE &amp; Co. KGaA</t>
  </si>
  <si>
    <t>TAG Immobilien AG</t>
  </si>
  <si>
    <t>Talanx AG</t>
  </si>
  <si>
    <t>TeamViewer SE</t>
  </si>
  <si>
    <t>Telefónica Deutschland Holding</t>
  </si>
  <si>
    <t>Thyssenkrupp AG</t>
  </si>
  <si>
    <t>United Internet AG</t>
  </si>
  <si>
    <t>Vitesco Technologies Group AG</t>
  </si>
  <si>
    <t>Wacker Chemie AG</t>
  </si>
  <si>
    <t>percentage</t>
  </si>
  <si>
    <t xml:space="preserve">int </t>
  </si>
  <si>
    <t>int (1 = multiplier, 2 = KPI)</t>
  </si>
  <si>
    <t>binary (1 = yes, 0 = no)</t>
  </si>
  <si>
    <t>text</t>
  </si>
  <si>
    <t xml:space="preserve">text </t>
  </si>
  <si>
    <t>int</t>
  </si>
  <si>
    <t>cnameshort</t>
  </si>
  <si>
    <t>cindex</t>
  </si>
  <si>
    <t>year</t>
  </si>
  <si>
    <t xml:space="preserve">STI_share_of_total_compensation </t>
  </si>
  <si>
    <t>STI_count_of_total_ESG_KPI</t>
  </si>
  <si>
    <t>STI_ESG_KPI_as_multiplier_or_KPI</t>
  </si>
  <si>
    <t>STI_total_ESG_Share</t>
  </si>
  <si>
    <t>STI_ESG_CEO_criteria_differ_from_restofBoard</t>
  </si>
  <si>
    <t>STI_Zielerreichung</t>
  </si>
  <si>
    <t>STI_E_KPI</t>
  </si>
  <si>
    <t>STI_E_KPI_Emission reduction</t>
  </si>
  <si>
    <t>STI_E_KPI_Emission reduction_Share</t>
  </si>
  <si>
    <t>STI_E_KPI_other</t>
  </si>
  <si>
    <t>STI_E_KPI_other_Share</t>
  </si>
  <si>
    <t>STI_S_KPI</t>
  </si>
  <si>
    <t>STI_S_KPI_employee satisfaction</t>
  </si>
  <si>
    <t>STI_S_KPI_employee satisfaction_Share</t>
  </si>
  <si>
    <t>STI_S_KPI_other</t>
  </si>
  <si>
    <t>STI_S_KPI_other_Share</t>
  </si>
  <si>
    <t>STI_G_KPI</t>
  </si>
  <si>
    <t>STI_G_KPI_compliance</t>
  </si>
  <si>
    <t>STI_G_KPI_compliance_Share</t>
  </si>
  <si>
    <t>STI_G_KPI_other</t>
  </si>
  <si>
    <t>STI_G_KPI_other_Share</t>
  </si>
  <si>
    <t>STI_cap (%)</t>
  </si>
  <si>
    <t>ESG_in_STI_comment</t>
  </si>
  <si>
    <t>MTI_share_of_total_compensation</t>
  </si>
  <si>
    <t>MTI_count_of_total_ESG_criteria</t>
  </si>
  <si>
    <t>MTI_ESG_KPI_as_multiplier_or_KPI</t>
  </si>
  <si>
    <t>LTI_share_of_total_compensation</t>
  </si>
  <si>
    <t>LTI_count_of_total_ESG KPI</t>
  </si>
  <si>
    <t>LTI_ESG_KPI_as_multiplier_or_KPI</t>
  </si>
  <si>
    <t>LTI_total_ESG_Share</t>
  </si>
  <si>
    <t>LTI_ESG_CEO_criteria_differ_from_restofBoard</t>
  </si>
  <si>
    <t>LTI_Zielerreichung</t>
  </si>
  <si>
    <t>LTI_E_KPI</t>
  </si>
  <si>
    <t>LTI_E_KPI_Emission reduction</t>
  </si>
  <si>
    <t>LTI_E_KPI_Emission reduction_Share</t>
  </si>
  <si>
    <t>LTI_E_KPI_other</t>
  </si>
  <si>
    <t>LTI_E_KPI_other_Share</t>
  </si>
  <si>
    <t>LTI_S_KPI</t>
  </si>
  <si>
    <t>LTI_S_KPI_employee satisfaction</t>
  </si>
  <si>
    <t>LTI_S_KPI_employee satisfaction_Share</t>
  </si>
  <si>
    <t>LTI_S_KPI_other</t>
  </si>
  <si>
    <t>LTI_S_KPI_other_Share</t>
  </si>
  <si>
    <t>LTI_G_KPI</t>
  </si>
  <si>
    <t>LTI_G_KPI_compliance</t>
  </si>
  <si>
    <t>LTI_G_KPI_compliance_Share</t>
  </si>
  <si>
    <t>LTI_G_KPI_other</t>
  </si>
  <si>
    <t>LTI_G_KPI_other_Share</t>
  </si>
  <si>
    <t>LTI_cap (%)</t>
  </si>
  <si>
    <t>ESG_in_LTI_comment</t>
  </si>
  <si>
    <t xml:space="preserve">Adidas </t>
  </si>
  <si>
    <t>Erhöhte Transparenz der Geschäftslage in der Organisation; Erhöhung der Talentbindung; Verstärkter Fokus auf die interne Nachfolgeplanung und Talententwicklung</t>
  </si>
  <si>
    <t>5; 5; 5</t>
  </si>
  <si>
    <t>STI: Währungsneutraler Umsatzanstieg 20%, Betriebsergebnis 40%, Operating Model 20%, ESG 20%. Es gibt nur das ESG Kriterium "People &amp; Culture" das mit 20% gewichtet wird. Darunter fallen diese Unterpunkte: Erhöhte Transparenz der Geschäftslage in der Organisation, Verbessertes Mitarbeiter-Engagement, Erhöhung der Talentbindung, Verstärkter Fokus auf die interne Nachfolgeplanung und Talententwicklung.</t>
  </si>
  <si>
    <t>Anteil nachhaltiger Artikel am Angebot bis 2025 auf 90%</t>
  </si>
  <si>
    <t xml:space="preserve">LTIP-Auszahlungsbetrag muss in Aktien investiert werden und unterliegen einer vierjährigen Halteperiode. LTIP-Tranche 2021/2025 mit einer Laufzeit von 5 Jahren; Bei Gesamterzielung von &lt;50% erfolgt keine Auszahlung; Bemessungsgrundlage: 1) Finanzielles Kriterium: Betriebsergebnis (Gewichtung: 80 %); 2) ESG-Kriterum: Anteil nachhaltiger Artikel (20%) </t>
  </si>
  <si>
    <t>Anzahl von Arbeitsunfällen</t>
  </si>
  <si>
    <t>STI: EBIT 20%, FCF 20%, Nachhaltigkeit 10%, indivudelle Ziele 50%.  Neben dem Punkt Nachhaltigkeit (je 1 E und S Ziel), gibt es in den indv. Zielen des CEO ein allgemeines ESG-Ziel (ZE 150%) das mit 10% in den indv. Zielen (5% der STI) gewichtet ist.</t>
  </si>
  <si>
    <t>Es gibt keine ESG LTI, für 2023 sind die LTI auf 100% gecapped. LTI: EPS 75%, FCF 25%.</t>
  </si>
  <si>
    <t>Kundenzufriedenheit: Entwickung digital NPS</t>
  </si>
  <si>
    <t xml:space="preserve">Führungsqualität mit besonderem Schwerpunkt auf Kunden- und Marktexzellenz, kollaborativer Führung, Unternehmertum und Glaubwürdigkeit </t>
  </si>
  <si>
    <t>Die sich so ergebende Zielerreichung wird durch den individuellen Beitragsfaktor (IBF), welcher einerseits die Ergebnisse des Geschäftsbereichs und andererseits die individuellen Leistungen der Vorstandsmitglieder bewertet, mit einem Faktor zwischen 0,8 und 1,2 angepasst</t>
  </si>
  <si>
    <t>1; 1</t>
  </si>
  <si>
    <t>33,33; 100</t>
  </si>
  <si>
    <t>LTI werden aus BFI (siehe STI), 4-jährige Aktienentwicklung und relativer Performance zu STOXX Europe 600 berechnet und dann mit einem Nachhaltigkeitsprüfungsfaktor (0-1) multipliziert</t>
  </si>
  <si>
    <t>Kundenzufriedenheit verbessern</t>
  </si>
  <si>
    <t>Berechnung STI: Zielbetrag (financial) * ROCE-Fakor * Performance-Faktor(beinhaltet 8 Unterpunkte, davon 2 ESG)</t>
  </si>
  <si>
    <t>Vierjährige Performance-Periode. Das Erreichen von drei vereinbarten strategischen Zielen (Wachstum, Profitabilität, Nachhaltigkeit) und die Kursentwicklung der BASF-Aktie zusätzlich der gezahlten Dividenden (Total Shareholder Return) bestimmen die Höhe des Auszahlungsbetrags.</t>
  </si>
  <si>
    <t>Nachhaltigkeitsversprechen einhalten, um nachhaltige Wirkung zu erzielen</t>
  </si>
  <si>
    <t>Engagement für die Gesundheit und Sicherheit der Beschäftigten verbessern und gesellschaftliche
Akzeptanz (License to Operate) sicherstellen; Inklusion und Vielfalt fördern und I&amp;D-Plan umsetzen</t>
  </si>
  <si>
    <t>Berechnung STI: financial factors * Performance-Faktor</t>
  </si>
  <si>
    <t>3,33; 3,33</t>
  </si>
  <si>
    <t>Kompensation verbleibender Scope-1- und -2-Treibhausgas-Emissionen</t>
  </si>
  <si>
    <t>Anzahl an Kleinbauern in Ländern mit geringem bis mittlerem Einkommensniveau, die durch
Produkte und Dienstleistungen sowie über Partnerschaften unterstützt werden ;
Anzahl an Frauen in Ländern mit geringem bis mittlerem Einkommensniveau mit Zugang zu
moderner Empfängnisverhütung aufgrund von Maßnahmen, die durch Bayer unterstützt werden ;
Anzahl der Menschen in unterversorgten Regionen, deren alltägliche Gesundheitsversorgung
durch Interventionen von Bayer unterstützt wird</t>
  </si>
  <si>
    <t>3,33; 3,33; 3,33</t>
  </si>
  <si>
    <t>Dreijährige Periode, LTI sind an Aktienkursentwicklung, relative Marktperformance, Kapitalrendite, Nachhaltigkeit und Dividendenäquivalente geknüpft</t>
  </si>
  <si>
    <t>Berechnung STI: Zielbetrag * Erfolg (70-90% gemeinschaftliche Ziele und 10-30% Individuelle Ziele), gemeinschaftliche Ziele enthalten 1 ESG-Ziel, individuelle des CEO nicht</t>
  </si>
  <si>
    <t>nicht angegeben</t>
  </si>
  <si>
    <t>Steigerung des Anteils recycelter Materialien in Plastikverpackungen um 20 %</t>
  </si>
  <si>
    <t>Erhöhung des Frauenanteils auf den Führungsebenen MG 1-4 auf 45%</t>
  </si>
  <si>
    <t xml:space="preserve"> Nachfolgeplanung für MG 1-4 einschließlich Steigerung der internen und internationalen Beförderungen.</t>
  </si>
  <si>
    <t>LTI setzt sich zusammen aus den Zielen (je 20%): digitale Transformation, Win with SKin care; Erschließung neuer Wachstumsmärkte und Geschäftsfelder, Nachhaltigkeit, Diversität und Personalentwicklung. Ab einer Zielerreichung von über 90% werden auch weitere Leistungskennzahlen beachetet. Neben dem LTI kann es auch einen zusätzlichen MAB (Multi Annual Bonus) geben, der allerdings keine ESG Ziele beinhaltet. Er ist von einer periode von mindestens 3 Jahre, deswegen sehe ich ihn nicht als MTI.</t>
  </si>
  <si>
    <t>Innovationsleistung (ökologisch, z. B. Absatzanteil vollelektrischer Fahrzeuge (Battery Electric Vehicle, BEV)); Fortschritte Nachhaltigkeitsstrategie und Transformation (CEO)</t>
  </si>
  <si>
    <t>Führungsleistung im Ressort und Erreichung der Diversity-Ziele im Ressort; Wandlungsfähigkeit (Investitionen in Aus- und Weiterbildung); Attraktivität als Arbeitgeber (z. B. Platzierung bei Rankings)</t>
  </si>
  <si>
    <t>Die STI (hier Tantieme genannt) setzt sich aus zur Hälfte aus einer Ergebniskomponente (finanziell) und zur anderen Hälfte aus einer Leistungskomponente (50% davon sind Ressortübergreifende ESG-Ziele, Ressortziele und Sonstige ressortübergreifenden ichtfinanzielle Ziele die anderen 50% mit teilweise auch ESG-Zielen). Beide Komponenten werden mit Zielbetrag*Ergebnis- bzw. Leistungsfaktor multipliziert und dann addiert. Die ZE wurden nicht granual angegeben, ESG-Ziele hatten insgesamt eine ZE von 108%.</t>
  </si>
  <si>
    <t>Absatz vollelektrische
Fahrzeuge (BEV) in Einheiten</t>
  </si>
  <si>
    <t>LTI (hier: aktienorientierte Vergütung) wird aus RoCE-Faktor und Faktor strategischer Fokusziele mit dem Verhältnis 1:1 berechnet. Die strategischen Fokusziele waren für das Jahr 2023: Reduktion der CO2-Flottenemissionen in der EU nach WLTP; Absatz vollelektrischer Fahrzeuge (Battery Electric Vehicle,
BEV). Beide Ziele haben das Verhätnis 1:1 und somit je 25% der LTI. Die Vorstandsmitglieder
sind verpflichtet, die LTI abzüglich
Steuern und Abgaben unmittelbar nach Auszahlung in
BMW Stammaktien zu investieren und die Aktien über einen
Zeitraum von mindestens vier Jahren zu halten</t>
  </si>
  <si>
    <t>Risikomanagement</t>
  </si>
  <si>
    <t>ESG-Ziele spielen nur beim Individuellen Leistungsmultiplikator (0,8 - 1,2) eine Rolle und sind sehr oberflächlich und mit kaum Details erklärt. (Die individuellen Leistungsaspekte können auf den drei Dimensionen Wachstum, Beschäftigte und Risikomanagement beruhen)  Der Leistungsmultiplikator wurde auf 1,0 für 2023 gesetzt.</t>
  </si>
  <si>
    <t>Die LTI werden in Form virtueller
Aktien (Performance Share Units) zugeteilt. Die final an das Vorstandsmitglied zugeteilte Anzahl virtueller
Aktien ist an zwei finanzielle Leistungskriterien und über
einen ESG-Multiplikator an ESG-Ziele geknüpft, die nicht weiter erklärt sind.</t>
  </si>
  <si>
    <t>3; 3</t>
  </si>
  <si>
    <t>Weiterentwicklung der Anwendung des SBTi-Rahmenwerks; Nachhaltigkeitsrating befindet sich im oberen Drittel der Peergroup,</t>
  </si>
  <si>
    <t>Identifizierung, Bindung und Entwicklung von Talenten und Leistungsträgern, identifiziert über die Career Development Days &amp; den Executive Development Dialogue;
Abarbeitung von Audit-Findings in den verantworteten Ressorts;
Aktives Vorleben und Fördern der Unternehmenswerte und der Culture of Integrety</t>
  </si>
  <si>
    <t>1;1;1</t>
  </si>
  <si>
    <t>Aufgeteilung: 60% Konzernziele (davon 20%ESG), 30% Ressortziele (0% ESG) und 10% indviduelle Ziele (davon 30% ESG). STI und LTI werden identisch berechnet.</t>
  </si>
  <si>
    <t>Es gibt keine ESG STI. Zur Berechnung des STI wird der Grad der Erreichung des EBIT-Ziels mit 40 %, des ROCE-Ziels mit 30 % und des Free-Cashflow-Ziels mit 30 % gewichtet. Dies wird noch mit einem Personal Contribution Faktor verrechnet. Es gibt einen Personal Contribution Factor, bei dem ein kleiner Unterpunkt z. B. Nachfolgeplanung sein kann, das ist aller für mich zu wenig, um es als ESG Ziel zu werten. S.6</t>
  </si>
  <si>
    <t>Abfallverwertungsquote</t>
  </si>
  <si>
    <t>Unfallhäufigkeit; Krankenstand; Frauen in Führungspositionen</t>
  </si>
  <si>
    <t xml:space="preserve">  Frauen in Führungspositionen</t>
  </si>
  <si>
    <t>Relativer TSR*nachhaltigkeitsfaktor. Dieser Faktor (Spanne 0.7-1,3) wird durch 6 ESG-Kriterien berechnet. Für jedes erfüllte Kriterium wird 0,1 auf 0,7 addiert. In der Tranche 20-23 gab es eine ZE von 110%, es wurden also 4/6 Zielen erfüllt</t>
  </si>
  <si>
    <t>Je 25%: EBITDA, FOCF, ROCE über WACC, ESG.
Ein Viertel der STI sind ESG-Kriterien, allerdings ausschließlich E. S und G sollen in der Zukunft einbezogen werden.</t>
  </si>
  <si>
    <t xml:space="preserve">LTI setzt sich aus TSR Faktor und einem Multiplikator zusammen, der zu 25% aus CO2-Faktor und zu 75% aus einem Outperformance-Faktor besteht. Bei den LTI gibt es also als ESG-Ziel nur einen CO2-Faktor, der mit 25% gewichtet ist. Der CO2-Faktor beträgt 100 %, wenn eine Einsparung der genannten Emissionen von
1.300 Kilotonnen (kt), bezogen auf das Basisjahr 2020, bis Ende des Jahres 2026 erreicht wird. Das entspricht
einer Reduzierung der Emissionen um 23 %. Beträgt die Reduktion der jährlichen Emissionen 650 kt oder weniger,
nimmt der CO2-Faktor den Wert 0 % an. Ab einer Reduktion in Höhe von 1.950 kt erreicht er den Maximalwert von
200 %. Zwischen diesen Werten wird der Faktor mittels linearer Interpolation ermittelt. Die definierten
Einsparungsziele betrachtet der Aufsichtsrat als erheblich im Vergleich zu den tatsächlichen Scope-1- und
Scope-2-Emissionen des Unternehmens.
</t>
  </si>
  <si>
    <t>Anzahl abgesetzer ZEV (Zero Emmision Vehicles)
(eTrucks und eBuses, Group Sales target)</t>
  </si>
  <si>
    <t>Es gibt einen Perfomance Faktor (0-200%), der die STI bestimmt. Davon sind 25% Nachhaltigkeitsziele, 2023 wurden je ein E und S Ziel aufgenommen, allerdings kein G.</t>
  </si>
  <si>
    <t>Anteil weiblicher Führungskräfte an allen Führungskräften der Ebenen 1 bis 4 des Konzerns</t>
  </si>
  <si>
    <t>Für die VSEP-Tranche 2023 wird als finanzielles Leistungskriterium
die relative Aktienkursentwicklung im Verhältnis zum MSCI World
Industrials Index herangezogen. Als nicht-finanzielle Leistungskriterien
werden die Reduktion der CO2-Emissionen von Produktionsstätten
des Daimler Truck Konzerns sowie der Anteil weiblicher Führungskräfte
an allen Führungskräften der Ebenen 1 bis 4 des
Konzerns herangezogen. Das finanzielle Leistungskriterium ist mit
75% und die nicht-finanziellen Leistungskriterien sind zusammen mit
25% gewichtet. Bei den LTI ab 2023 werden also ESG Ziele mit 25% gewichtet (CO2-Emissionen und Anteil weiblicher Führungskräfte), die entsprechende Zielerreichung wird allerdings erst 2027 veröffentlicht. 2023 wurden LTI aus der Periode 2019-2023 ausgezahlt. Diese hat keine ESG Kriterien.</t>
  </si>
  <si>
    <t>Geschlechterdiversität</t>
  </si>
  <si>
    <t>Überfällige Feststellungen</t>
  </si>
  <si>
    <t>STI setzt sich so zusammen:
– Individuelle Ziele und Verhaltensziel (62,5%)
– Individuelle Balanced Scorecards und Key Deliverables (37,5%)
Dieses Scoreboard hat beim CEO 6 Ziele unter dem Unterpunkt "Kultur, Kontrolle und Verhalten". Davon sind je 2 S und G, 1 allgemein ESG (Der "ESG-Rating-Index" ist der gleich gewichtete Indexwert der in den drei wichtigsten ESG-Ratings der Bank erzielten Platzierungen/Bewertungen. Der Wert für 2023 betrug 1,70, gegenüber einem Zielwert von 1,30) und 1 nicht ESG. (S.454)</t>
  </si>
  <si>
    <t>4,17;  1,67</t>
  </si>
  <si>
    <t>Steigerung des Geschäfts mit nachhaltigen Finanzierungen und Investitionen</t>
  </si>
  <si>
    <t>Gender Diversity</t>
  </si>
  <si>
    <t>Kontrollrisiko Management (Assessment &amp; Group Audit Risk/Control Culture Grade); 
Geldwäsche-Prävention / Know-Your-Client Verbesserungsmaßnahmen</t>
  </si>
  <si>
    <t>5; 13,33</t>
  </si>
  <si>
    <t>Berechnung LTI:
- ESG-Ziele (33,33%), 3 E, 2 S, 2 G Ziele
– Relative Wertentwicklung der Deutsche Bank Aktie (25%)
– Finanzielle Gruppenziele (41,67%)</t>
  </si>
  <si>
    <t>STI Zusammensetzung, je 1/3: Nettoerlöse; EBITDA; individuelle Ziele
Die ind. Ziele können ESG Ziele enthalten, allerdings ist das beim CEO nicht der Fall.</t>
  </si>
  <si>
    <t>ESG-Ziele sind 25% der LTI, die dann allerdings nochmal mit einem Wertentwicklungsfaktor verrechnet werden. Es gibt 4 ESG-KPI, je 1 E und S und 2 insgesamte ESG-Ziele (Externe ESG-Ratings; Wachstum der Nettoerlöse mit ESG-Produkten)</t>
  </si>
  <si>
    <t>Cybersicherheits-Rating</t>
  </si>
  <si>
    <t>Leistungskriterien: EAC 60%, FCF 10%, ESG 30%.
Auszahlung: 50 % im Folgejahr, 50 % nach weiteren zwei Jahren
(Nachhaltigkeitsphase) und nur, wenn am Ende der Nachhaltigkeitsphase
die Kapitalkosten verdient wurden (Mittelfristkomponente)</t>
  </si>
  <si>
    <t>Höchstbetrag (Cap): 4x Grundgehalt (2,5x Grundgehalt für den Vorstandsvorsitzenden). Die Erfolgskriterien sind aktienkursbezogen. Sie sind teilweise an den absoluten Erfolg der Deutsche-Post-Aktie, teilweise an den Erfolg der Aktie im Vergleich zum STOXX Europe 600 Index geknüpft.</t>
  </si>
  <si>
    <t>1; 2</t>
  </si>
  <si>
    <t>20; 33,33</t>
  </si>
  <si>
    <t>Senkung Energieverbrauch</t>
  </si>
  <si>
    <t>Der Short Term Incentive (STI) ist das kurzfristige variable Vergütungsinstrument und hat eine Laufzeit von einem Jahr. Die Höhe des STI bemisst sich zu je einem Drittel aus Konzernfinanzzielen, Segmentfinanzzielen und ESG-Zielen. Bei der abschließenden Zielerreichungsbestimmung berücksichtigt der Aufsichtsrat einen individuellen Performancefaktor, mit dem die rechnerische Zielerreichung im Umfang zwischen 0,8 und 1,2 adjustiert werden kann, dabei hat der CEO zB Umsetzung ESG-Strategie (allgemeines ESG-Ziel), alos 1 von 5 Zielen. Von den STI müssen 33-50% in einen Share Matching Plan investiert werden.</t>
  </si>
  <si>
    <t>Kundenzufriedenheit</t>
  </si>
  <si>
    <t>LTI-parameter: Return on Capital Employed (ROCE), bereinigte Earnings Per Share (EPS), Kun-denzufriedenheit und Mitarbeiterzufriedenheit</t>
  </si>
  <si>
    <t>60; 20</t>
  </si>
  <si>
    <t>Weiterhin enger Austausch mit der Bundesregierung und der EU Kommission zur Bewältigung der
Energiekrise in Deutschland und Europa, noch resilientere Aufstellung des Konzerns für den Fall extremer
regulatorischer und marktlicher Entwicklungen, kontinuierliches Management der Risiken</t>
  </si>
  <si>
    <t>Net Promoter Score; Weiterentwicklung der HSE-Kultur: Deutliche Verbesserung der HSE-Situation gegenüber dem Vorjahr auf der Grundlage einer Vielzahl
von operativen Maßnahmen</t>
  </si>
  <si>
    <t xml:space="preserve">20; </t>
  </si>
  <si>
    <t>Die jährliche Tantieme (STI) besteht aus einer Barzahlung nach Ablauf des Geschäftsjahres. Ihre Höhe bemisst sich nach der Erreichung vorab
festgelegter Leistungskriterien (NPS 20%, EPS 80%). Diese messen sowohl die Unternehmens-Performance als auch die individuelle Performance mit Hilfe eines
individuellen Performance-Faktors. Die Tantieme ist auf maximal 180 Prozent des vertraglich vereinbarten Zielbetrags begrenzt (Cap). Im indv. Perfomance-Faktor sind 3 der 5 Ziele für 2023 ESG Ziele, 1 davon ist ein allgemeines ESG Ziel (Weitere Verbesserung der ESG-Performance in externen Rankings auf der Grundlage einer Vielzahl
von operativen Maßnahmen).</t>
  </si>
  <si>
    <t>Steigerung des Anteils weiblicher Führungskräfte; Reduktion der Häufigkeit schwerer Unfälle und Todesfälle</t>
  </si>
  <si>
    <t>6,25; 6,25</t>
  </si>
  <si>
    <t>Steigerung des Anteils weiblicher Führungskräfte</t>
  </si>
  <si>
    <t>Als langfristige variable Vergütung erhalten die Vorstandsmitglieder eine aktienbasierte Vergütung im Rahmen des E.ON Performance Plans.
Die Laufzeit einer Tranche beträgt im E.ON Performance Plan vier Jahre, um einen langfristigen Anreiz im Sinne einer nachhaltigen Unternehmensentwicklung
zu schaffen. Sie beginnt jeweils am 1. Januar eines Jahres. Es gibt 4 ESG-Ziele (1 E, 2 S und 1 allgemeines(Ergebnisse in ESG Ratings)), die insgesamt 25% der LTI sind. Der Aktienkurs + dividende wird noch vor der Auszahlung als Faktor beachtet.</t>
  </si>
  <si>
    <t>Patientenzufriedenheit /
„Medizinische Qualität‘‘</t>
  </si>
  <si>
    <t>STI Berechnung: Ergebnis 65%, Umsart 20%, ESG 15%. Die 2 ESG Ziele: 
► Mitarbeiterbefragung
Messung der Mitarbeiterzufriedenheit anhand des Employee Engagement Index der Fresenius SE &amp; Co. KGaA
Der Employee Engagement Index beschreibt, wie positiv sich die Mitarbeiter mit dem Arbeitgeber identifizieren,
wie gebunden sie sich fühlen und wie engagiert sie bei der Arbeit sind.
►Patientenzufriedenheit /„Medizinische Qualität‘‘
 Das ESG-Ziel setzt sich aus vier gleich gewichteten Zielen zusammen, die auf Unternehmensbereichsebene
festgelegt sind.
Als Ziele werden Net Promoter Score, Audit &amp; Inspection Score, Inpatient Quality Indicator und Patientenzufriedenheit
herangezogen.</t>
  </si>
  <si>
    <t>Die langfristige variable Vergütung wird anhand der Erreichung
von drei unterschiedlich gewichteten Erfolgszielen
bemessen: Relativer TSR, ROIC und ESG-Ziele. Dabei sind in den 2023 ausgezahlten LTI keine ESG-Ziele abgebildet, in der aktuell-laufenden Tranche allerdings schon.</t>
  </si>
  <si>
    <t>Weiterentwicklung der HR-Nachhaltigkeitsstrategie</t>
  </si>
  <si>
    <t>STI berechnet sich aus Konzern RoE und einem indv. Leistungsfaktor. Dieser beinhaltet beim CEO 2 ESG Ziele. Weiterentwicklung der HR-Nachhaltigkeitsstra-tegie (S); Implementierung Maßnahmenkatalog (allgemein ESG). Wie viel Gewichtung dies hat, ist nicht bekannt.</t>
  </si>
  <si>
    <t>Der LTI Zuteilungswert basiert auf den STI, somit werden die ESG Ziele aus den STI nochmal verwendet. Dies habe ich nicht nochmal aufgezählt. Außerdem wird der Aktienkurs betrachtet.</t>
  </si>
  <si>
    <t>100; 20</t>
  </si>
  <si>
    <t>2/3: Jahresüberschuss * CO2-Komponente (0,7-1,3)
1/3: individuelle Ziele: CEO hat ein ESG-Ziel (Beschleunigung der Nachhaltigkeitstransformation (Fokus auf nachhaltige Produkte,
Verbesserung von Ratings und Arbeitssicherheit), das ein allgemeines ESG Ziel ist</t>
  </si>
  <si>
    <t>Keine ESG-Bestandteile, sollen aber ab 2024 kommen. LTI setzt sich aus EBIT, ROIC und relativen TSR zusammen.</t>
  </si>
  <si>
    <t>Vorantreiben der kulturellen Transformation, Fortentwicklung Top-Führungskräfte, Fortschritte Richtung Ziel Genderparität</t>
  </si>
  <si>
    <t>je 50%: organisches Umsatzwachstum; EPS
dann mit indv. Perfomance Faktor verrechnet. indv. Ziele: 
-Absolute und relative Performance des verantworteten
Unternehmensbereichs im Vergleich zum Markt/Wettbewerb
 Persönlicher Beitrag zur Umsetzung strategischer
Prioritäten
 Erfüllung individuell vereinbarter Sonderziele (Fokusthemen)
in den Fokusthemen sind 2 von 5 Zielen ESG, 1 davon allgemein ESG (Fortentwicklung Nachhaltigkeitsstrategie und Nachhaltigkeitsziele, bereichsübergreifende Implementierung Digitalisierungsstrategie)</t>
  </si>
  <si>
    <t>Erzielung signifikanter Fortschritte auf dem Weg zu Henkels Ziel der Geschlechterparität („Gender Parity
Ambition“) für 2025 (auf allen Management-(MC)-Ebenen)</t>
  </si>
  <si>
    <t>60% bereinigter ROCE; 20% TSR; 20% ESG (1 E, 1 S)</t>
  </si>
  <si>
    <t>Leistungskriterien
- 1/3 Return on Capital Employed (RoCE) wie geplant
- 1/3 Free-Cash-Flow wie geplant
- 1/3 Segmentergebnis-Marge wie geplant
Modifier (0,7 bis 1,3)
- Kollektive Leistung des Vorstands unter Heranziehung konkreter Kriterien (hier 1/7 ESG, ein allgemeines ESG-Ziel(Leistungen in den Bereichen ESG))
- Außergewöhnliche Entwicklungen</t>
  </si>
  <si>
    <t>Frauenanteil in Führungspostionen</t>
  </si>
  <si>
    <t>Vierjährige Perfomanceperiode. Die Leistungsmessung erfolgt während der Performanceperiode über das finanzielle Leistungskriterium der relativen Gesamtkapitalrendite (relativer Total Shareholder Return, TSR) im Vergleich zu einer ausgewählten Vergleichsgruppe von Unternehmen der Branche und dem nichtfinanziellen Leistungskriterium, das sich aus strategie- abgeleiteten ESG-Zielen (Environmental, Social &amp; Governance beziehungsweise Umwelt, Soziales und Governance) zusammensetzt. Dabei fließen der TSR zu 70 – 80 Prozent und die ESG-Ziele zu 20 – 30 Prozent in die Gesamtzielerreichung ein.</t>
  </si>
  <si>
    <t>75; 100</t>
  </si>
  <si>
    <t xml:space="preserve"> Kundenzufriedenheit; Sicherheitsinnovationen</t>
  </si>
  <si>
    <t xml:space="preserve"> Integretät</t>
  </si>
  <si>
    <t>Zielerreichungsgrad wird von Finanziellen Zielen (EBIT und FCF) bestimmt, und dann von nichtfinanziellen Zielen und Transformationszeilen erhöht bzw. verkleinert.
Dabei gibt es auch ein allgemeines ESG Ziel unter den Transformationszielen: Bei den Stakeholderbeziehungen sind Veranstaltungen
wie beispielsweise die ESG-Konferenz in die Bewertung
miteingeflossen. Ferner wurden Veranstaltungen zwischen
dem Vorstand, dem Aufsichtsrat und den leitenden
Führungskräften zu Themengebieten aus der Nachhaltigkeit
durchgeführt. Weiterhin gab es ähnliche
Formate in Indien, China und in den USA. Zusätzlich
wurde der »Climate Policy Report« aktualisiert und im
März 2023 publiziert.</t>
  </si>
  <si>
    <t>40%: Umsatzrendite
40%: Relative Aktien-Perfomance
20% ESG-Leistungskriterien (ab Planjahr 2023)</t>
  </si>
  <si>
    <t>Es werden außergwöhnliche Beiträge bzw. das deutliche Verfehlen der Nachhaltigkeitsziele und
Leistungskriterien „Fortschritt für Menschen schaffen“,
„Nachhaltigen Geschäftserfolg gemeinsam erzielen“ und
„Unseren ökologischen Fußabdruck reduzieren“ (z. B. Co2-
Reduktion, Mitarbeiterzufriedenheit, Kundenzufriedenheit,
Corporate Social Responsibility, Diversität) als ein Kriterium angeben. Dazu noch 3 G Ziele. Allerdings wird die genaue Berechnung des Performance-Faktors nicht erklärt. Dieser Faktor wird nachden Dreijahrdurchschnitt des Ergebnisses nach Steuer verrechnet.</t>
  </si>
  <si>
    <t>Nachhaltigen Geschäftserfolg gemeinsam
erzielen: 
Anteil relevanter Lieferanten (in Bezug auf Anzahl und Beschaffungsausgaben),
die von einer gültigen Nachhaltigkeitsbewertung abgedeckt sind</t>
  </si>
  <si>
    <t>Fortschritt für Menschen schaffen:
Menschen, die mit unseren Healthcare-Produkten (einschließlich Bilharziose-
Bekämpfungsprogramm) und mit Pharmaprodukten, die von Life Science
ermöglicht wurden, behandelt werden</t>
  </si>
  <si>
    <t>Finanzielle Ziele (Perfomance gegenüber DAX 50%, EBITDA 25%, Umsatzwachstum 25%) werden mit Nachhaltigkeitsfaktor verrechnet. 
Im Jahr 2021 wurde der überarbeitete LTIP mit einer Performance Periode von vier Jahren (vorher drei Jahre) eingeführt, was zu einer Auszahlungslücke
ohne Überbrückungszahlung führt. Die LTIP-Tranche 2021 läuft noch bis 31. Dezember 2024 und wird aufgrund der einjährigen Halteperiode im April 2025
ausgezahlt. Daher gab es 2023 keine LTI-Auszahlung. S. 182</t>
  </si>
  <si>
    <t>Bildungstage je Mitarbeiter</t>
  </si>
  <si>
    <t xml:space="preserve">STI: Finanzielle Leistungskriterien:
EBIT bereinigt und Free Cashflow
Limitierung 0 - 200 %
Nicht-finanzielle ESG-Ziele werden mittels
(Limitierung 0,8 - 1,2) berücksichtigt
</t>
  </si>
  <si>
    <t>LTI: keine ESG Ziele. Aufbau:
Finanzielle Leistungskriterien (mehrjährige Betrachtung):
EBIT bereinigt und relativer Total Shareholder
Return
Limitierung 0 - 200 %
Barvergütung zum Erwerb gesperrter
MTU-Aktien (Haltedfrist 4 Jahre)</t>
  </si>
  <si>
    <t xml:space="preserve">Zugang zu medizinischer Versorgung &amp; Gesundheitsmaßnahmen; Weiterbildungskosten und -tage; Krankenquote; Diversity </t>
  </si>
  <si>
    <t>Führungsqualität; Angemessene Einrichtung der Governance-Funktionen</t>
  </si>
  <si>
    <t>Die Geschäftsstrategie der Münchener-Rück-Gruppe („Munich Re“) ist auf profitables
Wachstum und eine erfolgreiche Positionierung im Wettbewerb ausgerichtet. Das IFRSKonzernergebnis
als etabliertes Ergebnisaggregat und relevante Messgröße für den
Kapitalmarkt trägt im Rahmen der einjährigen variablen Vergütungskomponente der
Bedeutung einer hohen und stabilen Ergebniskraft Rechnung. Der Zielwert für das IFRSKonzernergebnis
folgt der jährlichen Planung, die die strategische Ambition widerspiegelt. Außerdem gibt es Bis zu 10 %-Punkte Zu-/Abschlag auf Basis ESG-Kriterien und Bis zu 10 %-Punkte Zu-/Abschlag auf Basis folgender Erfolgs- und Leistungskriterien.</t>
  </si>
  <si>
    <t xml:space="preserve"> ; 10</t>
  </si>
  <si>
    <t>Anteil von Frauen in Führungspositionen; Zugang zu medizinischer Versorgung &amp; Gesundheitsmaßnahmen; Weiterbildungskosten und -tage; Krankenquote</t>
  </si>
  <si>
    <t>5;</t>
  </si>
  <si>
    <t>Anteil von Frauen in Führungspositionen; Verhalten;Führungsqualität; Diversity; Angemessene Einrichtung der Governance-Funktionen</t>
  </si>
  <si>
    <t xml:space="preserve">5; 2,5; </t>
  </si>
  <si>
    <t>Der Mehrjahresbonus stellt zu 80 % auf die relative TSR-Entwicklung und zu 20 % auf ein
oder mehrere Nachhaltigkeitsziele ab. Außerdem gibt es Bis zu 10 %-Punkte Zu-/Abschlag auf Basis ESG-Kriterien und Bis zu 10 %-Punkte Zu-/Abschlag auf Basis folgender Erfolgs- und Leistungskriterien (gleich wie bei STI).</t>
  </si>
  <si>
    <t>Geschlechterquote; Customer Excitment Index</t>
  </si>
  <si>
    <t>STI-Kriterien:
Kapitalrendite (ROI) des Porsche AG Konzernbereichs Automobil (50 %)
Operative Umsatzrendite (ROS) des Porsche AG Konzerns (50 %)
ESG-Ziele (Multiplikator 0.63 - 1.43): ES-Faktor (0,7 - 1,3) und G-Faktor (0,9 - 1,1).</t>
  </si>
  <si>
    <t>Keine ESG-Bestandteile, richtet sich für LTI 2023-26 an dem EPS der Porsche-Vorzugsaktie.</t>
  </si>
  <si>
    <t>STI und LTI sind gleich aufgebaut. ESG-Ziele sind nicht verankert, sollen aber 2024 eingeführt werden. Es gibt zwar einen Compliance Faktor, der allerdings nur bei groben Verstößen eingesetzt wird und standardmäßig auf 1,0 gesetzt wird, deshalb habe ich diesen nicht erwähnt. Der Vorstand für Beteiligungsmanagement hat ein individuelles Leistungsziel "Verankerung von ESG-Kriterien im Investitionsprozess", der CEO allerdings keine.</t>
  </si>
  <si>
    <t>STI und LTI sind gleich aufgebaut. ESG-Ziele sind nicht verankert, sollen aber 2024 eingeführt werden. Es gibt zwar einen Compliance Faktor, der allerdings nur bei groben Verstößen eingesetzt wird und standardmäßig auf 1,0 gesetzt wird, deshalb habe ich diesen nicht erwähnt. Der Vorstand für Beteiligungsmanagement hat ein individuelles Leistungsziel "Verankerung von ESG-Kriterien im Investitionsprozess", der CEO allerdings keine. CEO hat 2023 keine LTI-Auszahlung bekommen, da dies erst ab seiner Vertragsverlängerung am 1.1.22 integriert ist. Deswegen erdiente Vergütung des CEO</t>
  </si>
  <si>
    <t>Plastic Material Reduktion</t>
  </si>
  <si>
    <t>Frauen in Führungspositionen; Human Rights Campaign Corporate Equality Index (CEI) and achieve Top Employer LGBTQ+</t>
  </si>
  <si>
    <t>1,67; 1,67</t>
  </si>
  <si>
    <t>Frauen in Führungspositionen</t>
  </si>
  <si>
    <t>Financial Goals (Net sales, Operating income, FCF) 50%; Team Goals 25% (davon 20% ESG); indv. Ziele 25% (nicht näher erklärt, ZA 95%).</t>
  </si>
  <si>
    <t>Performance goals set for a three-year performance period
– 50% cumulative net sales
– 50% Adjusted average operating income margin (% of sales)</t>
  </si>
  <si>
    <t>40% EBIT, 40% OFCF, 20% nicht finanzielle Ziele (2 Ziele, 1 E, 1G)</t>
  </si>
  <si>
    <t>Sicherheits am Arbeitsplatz/ Gesundheit: Jährliche Reduktion der "Lost Time Incident Rate" (LTIR)</t>
  </si>
  <si>
    <t>vierjährige Performanceperiode. 40% TSR, 40% ROCE, 20% ESG</t>
  </si>
  <si>
    <t>Positionierung von RWE als Treiber der Energiewende;
 Konstruktive Begleitung der energiepolitischen Entwicklungen;
 Implementierung der Strategie und der Nachhaltigkeitsstrategie; Integration internationaler Umwelt- und Sozialstandards in der Lieferkette;
Sicherstellung eines konzernweiten Umweltmanagements;
Vollständige Vermeidung von schwerwiegenden umweltrelevanten Ereignissen</t>
  </si>
  <si>
    <t>Aufrechterhaltung des hohen Arbeitssicherheitsstandards / Unfallhäufigkeit</t>
  </si>
  <si>
    <t>Bereinigtes EBIT wird mit Multiplikator verrechnet. Dieser setzt sich zu je 1/3 aus (1) individuelle Ziele
(2) allgemeine kollektive Ziele des Gesamtvorstands
(3) kollektive Leistungen auf dem Gebiet CSR/ESG und der Mitarbeitermotivation zusammen.
Die bereits hohe Mitarbeitermotivation aus den letzten beiden Jahren konnte im Berichtsjahr
erneut gesteigert werden und liegt weit oberhalb eines Marktvergleichs. Die Zielvorgabe
konnte der Vorstand damit übertre􀈸 en. Auf dem Gebiet der CSR-/ESG-Ziele wurden die
Compliance-Standards und die Umwelt- und Sozialstandards in der Lieferkette jeweils zu
100􀁢% erfüllt sowie der Verhaltenskodex eingehalten. Schwerwiegende umweltrelevante
Ereignisse konnten vermieden werden. Bei der Auditierung wurden jedoch Verbesserungsmaßnahmen
des Umweltmanagementsystems aufgezeigt, so dass in diesem Punkt der
Zielwert knapp unterschritten wurde. Auf dem Gebiet der Arbeitssicherheit konnten die
Ziele zur Aufrechterhaltung der hohen Arbeitssicherheitsstandards und die Unfall- und
Ausfallquote übertro􀈸 en werden. Insgesamt ergab sich damit auf dem Gebiet der CSR/ESG
und Mitarbeitermotivation ein Zielerreichungsgrad von 108 %.
Auf Basis der für das Geschäftsjahr 2023 festgelegten Gleichgewichtung der individuellen
Ziele, der allgemeinen kollektiven Ziele des Gesamtvorstands sowie der kollektiven Ziele auf
dem Gebiet der CSR/ESG und Mitarbeitermotivation (jeweils 33,33%) ergab sich für alle
Vorstandsmitglieder ein individueller Leistungsfaktor von 1,2.</t>
  </si>
  <si>
    <t>dreijährige Performance Periode, je 1/3: TSR; Bereinigtes Nettoergebnis; CO2-Intensität</t>
  </si>
  <si>
    <t>Kunden-Net-Promoter-Score</t>
  </si>
  <si>
    <t>CurrentCloud Backlog 30%, Wachstum der Cloud-und Softwareerlöse 25 %, Wachstum der operativen Marge 25 %, Kunden-Net-Promoter-Score(NPS) 6,67 %, Mitarbeiter-engagement-Index(EEI) 6,67 %, CO2-Leistung(Treibhausgas-emissionen in ktCO2) 6,67 %</t>
  </si>
  <si>
    <t>In den LTI sind keine ESG-Ziele verankert. Financial Performance Share Units (FSUs )1/3, Market Performance Share Units (MSUs) 1/3, Retention Share Units (RSUs) 1/3</t>
  </si>
  <si>
    <t>Umsatz 40%, Underlying EBITDA 40%, dynamischer Verschuldungsgrad 10%, Employee Net Promoter score 10%</t>
  </si>
  <si>
    <t>Jahresüberschuss 25%, Reduktion CO2 25%, Phantom stocks 50%. Es kann auch Einmalzuteilungen von Aktien geben, z.B. bei der Vertragsverlängerung des CEO</t>
  </si>
  <si>
    <t>Weiterentwicklung der Nachhaltigkeits- Geschäftsstrategie und Verankerung in der Unternehmenssteuerung; Aufbau des Nachhaltigkeitsgeschäfts</t>
  </si>
  <si>
    <t>4,166; 4,166</t>
  </si>
  <si>
    <t>EPS pre PPA 33,34%, angepasster ROCE 33,33%, individuelle Ziele 33,33%.
 Individuelle Ziele: CCR (25%, alle Vorstandsmitglieder), vergleichbares Wachstum der Umsatzerlöse  (25%, alle Vorstandsmitglieder), Geschäftsentwicklung (25%, CEO), Nachhaltigkeit / Diversität (25%, CEO, 2 Bestandteil:  Weiterentwicklung der Nachhaltigkeits- Geschäftsstrategie und Verankerung in der Unternehmenssteuerung; Aufbau des Nachhaltigkeitsgeschäfts)</t>
  </si>
  <si>
    <t>Digitale Lernstunden pro Mitarbeiter; Net Promoter Score (NPS)</t>
  </si>
  <si>
    <t>6,66; 6,66</t>
  </si>
  <si>
    <t>TSR im Vergleich zu Branchenindex (80%), ESG (20%). 4 Jähriger Performance-Korridor</t>
  </si>
  <si>
    <t>Verbesserung Kundenzufriedenheit; Arbeitssicherheit; Personalentwicklung</t>
  </si>
  <si>
    <t>8,33; 8,33; 8,33</t>
  </si>
  <si>
    <t>Ergebnismarge vor Sondereffekten 1/3, Free Cashflow vor Steuern 1/3, Individuelle Ziele 1/3 (davon beim CEO 3 von 4 ESG)</t>
  </si>
  <si>
    <t>40% TSR, 40% EPS, 20% ESG
erstmalige Auszahlung Nov 24.</t>
  </si>
  <si>
    <t>je 1/3 gewichtet: Bereinigtes unverwässertes Ergebnis je Aktie; vergleichbares Umsatzwachstum; 3 indv. Ziele, davon eins ESG, allerdings ein allgemeines ESG-Ziel: Konzipierung und Einleitung der Umsetzung der nächsten Stufe des Nachhaltigkeitsprogramms (ZE 100%) mit Gewichtung 11,11%.</t>
  </si>
  <si>
    <t>Zugang zur Gesundheitsversorgung, gemessen anhand des Wachstums der installierten Geräte in unterversorgten Ländern; Verbesserung der Gender Balance/ Frauenanteil</t>
  </si>
  <si>
    <t>8,33; 8,33</t>
  </si>
  <si>
    <t>75% relative Aktienrendite, 25% ESG ( je ein Ziel E,S,G), 4j Periode</t>
  </si>
  <si>
    <t>STI: währungsbereinigte organische Netto-Umsatzwachstum (Gewichtung: 30 %), EBITDA-Marge (30%); BFCF in % vom Umsatz (20%); Verringerung der absoluten Treibhausgasemissionen (Scope 3) um 3 % (Gewichtung 10 %); Umsetzung des Lieferkettensorgfaltsgesetzes
(LkSG) in 2023 (CEO, indv. Ziel, Gewichtung 10 %);</t>
  </si>
  <si>
    <t>Erhöhung der Öko-Effizienz der Treibhausgas-Emissionen
(Scope 1+2) um 6,6 %, bezogen auf die Wertschöpfung</t>
  </si>
  <si>
    <t>relativer TSR 40%, EPS 40%, ESG 20%
ESG-ziel für Tranche 23-26: Erhöhung der Öko-Effizienz der Treibhausgas-Emissionen
(Scope 1+2) um 6,6 %, bezogen auf die Wertschöpfung</t>
  </si>
  <si>
    <t>Diversity-Index</t>
  </si>
  <si>
    <t>50% OE, 50% RoS, dann ES-Faktor (0,7-1,3) und dann G-Faktor(0,9-1,1), der allerdings nur in Ausnahmen von 1,0 abweicht</t>
  </si>
  <si>
    <t>4j Periode, es sind keine ESG-Ziele verankert, nur EPS und Aktienkurs werden betrachtet.</t>
  </si>
  <si>
    <t>In der STI sind keine ESG-Ziele verankert. Berechnung: Group FFO (75%); Adjusted EBITDA (25%) und ein persönlicher Leistungsfaktor (0.8-1.2), mit dem übergeordneten Leistungsziel „Cash Conversion aus Verkauf“.</t>
  </si>
  <si>
    <t>die CO2-Intensität des Bestands; den durchschnittlichen Primärenergiebedarf
der Neubauten,</t>
  </si>
  <si>
    <t>Anteil weiblicher Führungskräfte;  Customer Satisfaction Index; Barrierearme Modernisierung</t>
  </si>
  <si>
    <t>4,166; 4,166; 4,166</t>
  </si>
  <si>
    <t>Anteil weiblicher Führungskräfte</t>
  </si>
  <si>
    <t>je 25%: TSR; NTA pro Aktie; Group FFO pro Aktie; ESG
3j Periode</t>
  </si>
  <si>
    <t>Es gibt keine STI Ziele, stattdessen werden Zalando Optionen und Aktien vierteljährig ohne Leistungsbedingung herausgegeben. Ab 2024 sollen allerdins STI eingeführt werden.</t>
  </si>
  <si>
    <t>Abhängig von der Erreichung der Leistungsziele kann die Zahl der LTI 2021-Aktien und
LTI 2021-Optionen zwischen 0 % und 125 % der Anzahl der zu Beginn des Plans
ursprünglich zugeteilten LTI 2021-Aktien und LTI 2021-Optionen betragen
Bruttowarenvolumen der Zalando SE (Förderung kontinuierlichen Wachstums des Geschäfts
des Unternehmens)
Optional: zusätzliches finanzielles Ziel, entweder bereinigtes EBIT oder Umsatz der Zalando
SE
ESG-Ziele werden anhand eines Modifier berücksichtigt (Förderung einer nachhaltigen
Unternehmensführung), was zu einer Verringerung der Auszahlung von 0 bis
20 Prozentpunkten führen kann. Ab 2024 soll ein neuer LTI Plan eingeführt werden.</t>
  </si>
  <si>
    <t>Es gibt keine STI ESG Ziele, die relative Gewichtung ist 70% für den Konzernjahresüberschuss, sowie jeweils 15% für die Marktposition und 15% für finanzielle und operative Ziele.</t>
  </si>
  <si>
    <t>Anteil der im Sinne der EU-Taxonomie-Verordnung konformen Umsatzerlöse, Betriebsausgaben (OpEx) und Investitionen (CapEx) im Jahr 2025</t>
  </si>
  <si>
    <t>Strategische Führungskräfte- und Personalentwicklung, gemessen gegen definierte Zielquoten für das Jahr 2025</t>
  </si>
  <si>
    <t>Die Zielerreichung der LTI-Tranche 2023 wird an den erreichten Ergebnissen in der Periode vom 01. Januar 2023 bis zum 31. Dezember 2025 berechnet. Für sie gelten die Leistungskriterien
• Konzernjahresüberschüsse der Geschäftsjahre 2023, 2024 und 2025 (50% Anteil)
• Entwicklung des Total Shareholder Return (TSR) vom Q4/2022 bis zum Q4/2025 (40% Anteil)
• Nachhaltigkeitsziele (10% Anteil):
◦ Anteil der im Sinne der EU-Taxonomie-Verordnung konformen Umsatzerlöse, Betriebsausgaben (OpEx) und Investitionen (CapEx) im Jahr 2025
◦ Strategische Führungskräfte- und Personalentwicklung, gemessen gegen definierte Zielquoten für das Jahr 2025</t>
  </si>
  <si>
    <t>n/ a</t>
  </si>
  <si>
    <t>Green building cetrification</t>
  </si>
  <si>
    <t>Die Informationen stammen größtenteils aus dem Vergütungssystem. Der wirkliche Vergütungsbericht 2023 ist wenig informativ. STI setzt sich zusammen aus: FFO I per share 49%, Adjusted EBITDA 21%, Emission reduction 15%, Green building certification 15%.</t>
  </si>
  <si>
    <t>Gender Equality</t>
  </si>
  <si>
    <t>Corporate ESG Rating</t>
  </si>
  <si>
    <t>Die Informationen stammen größtenteils aus dem Vergütungssystem. Der wirkliche Vergütungsbericht 2023 ist wenig informativ. LTI setzt sich zusammen aus: FFO I per share 28%, EPRA NTA per share 28%, RTSR 14%, Corporate ESG Rating 20%, Gender equality 10%.</t>
  </si>
  <si>
    <t>Ausbau der Maßnahmen zur
alternativen
Energieversorgung</t>
  </si>
  <si>
    <t>Reduzierung der Unfälle (LTI) –
nur Aurubis-Mitarbeiter – in
allen Werken bis Ende 2022/23; Qualifizierte Konzernmitarbeiter
haben mindestens einmal
pro Jahr eine Weiterbildungsmaßnahme
durchlaufen</t>
  </si>
  <si>
    <t>6;  4</t>
  </si>
  <si>
    <t>Leistungskriterien:
› Operatives EBT (60 %)
› Individuelle Leistung des Vorstandsmitglieds (40 %)</t>
  </si>
  <si>
    <t>Keine ESG-Ziele. Es gibt ein Aktien-Deferral und ein Performance Cash Plan der sich nur am ROCE orientiert.</t>
  </si>
  <si>
    <t>Fluktuationsrate; Programme für noch mehr Chancengleichheit für Mitarbeitende jeden Geschlechts vereinbart</t>
  </si>
  <si>
    <t>Für Vorstandsvorsitzenden und Ordentliche Vorstandsmitglieder
ohne Teilbereichsverantwortung:
_x0014_ 100 % Konzern-EBT
Für Ordentliche Vorstandsmitglieder
mit Teilbereichsverantwortung:
_x0014_ 50 % Konzern-EBT (as reported)
_x0014_ 50 % Teilbereichs-EBT (gem. Aufsichtsrats-Reporting)
FÜr alle Vorstandsmitglieder Kriterienbasierter Modifier (0,9–1,2):
_x0014_ Zur Beurteilung der individuellen und kollektiven Leistung
des Vorstandes sowie der Erreichung von Nachhaltigkeitszielen
(ESG-Kriterien). Dabei gibt es ein allgemeines ESG Ziel (nochmalige Verbesserung unserer Nachhaltigkeitsberichterstattung
und die gezielte geschäftliche Nutzung des seit Jahren Erarbeiteten,Ziele wurden nach
Einschätzung des Aufsichtsrats deutlich übertroffen.). Allerdings sehr ungenaue und vage Erklärung.</t>
  </si>
  <si>
    <t>Keine ESG-Ziele.  50 % Konzern-Geschäftsvolumen as reported (Budgetziel) und 50% Konzert-EBT (Budgetziel)</t>
  </si>
  <si>
    <t>Berechnet aus Free Cashflow und EVA, Weiterhin können persönliche Ziele anteilig gewichtet im STI mit abgebildet werden – diese können auch nicht-finanzielle Ziele (wie zum Beispiel ESG-Ziele), die der nachhaltigen Unternehmensentwicklung dienen, enthalten. Im Geschäftsjahr 2022/23 wurden jedoch keine persönlichen bzw. nicht-finanziellen Ziele vereinbart.</t>
  </si>
  <si>
    <t>3j Periode, keine ESG-Ziele, nur von EVA abhängig</t>
  </si>
  <si>
    <t>Für den CEO waren die oben angeführten Kriterien für die Gewährung und die Höhe der variablen Vergütung wie folgt gewichtet: Umsatz 40%, EBIT 40% und individuelle Ziele 20%. Weder STI noch LTI enthalten ESG Ziele. Mittels der persönlichen Ziele kann der Aufsichtsrat der persönlich haftenden Gesellschafterin die individuelle Leistung der Mitglieder des Vorstands und die Erreichung auch nichtfinanzieller Ziele beurteilen. Dies können z.B. wichtige finanzielle Kennzahlen oder Leistungen im Ressort, individuelle Beiträge zu bedeutenden Schlüsselprojekten, relevante strategische Leistungen oder die Erreichung von Nachhaltigkeitszielen sein. Auf die persönlichen Ziele wird allerdings nicht weiter eingegangen und es gibt keine keine klare Abgrenzung zwischen STI und LTI</t>
  </si>
  <si>
    <t>Bereitstellung von nachhaltigen
Verpackungseinheiten
bei Partnern.</t>
  </si>
  <si>
    <t>Reduzierung der Fahrerunfallrate
(Unfälle pro 1 Million Lieferungen)
für eigene
Lieferungen.</t>
  </si>
  <si>
    <t xml:space="preserve">Cybersicherheitsschulungen für 85 %
der Mitarbeiter der Gesellschaft. </t>
  </si>
  <si>
    <t>Zum zweiten Mal seit der Einführung des im Geschäftsjahr
2023 geltenden Vergütungssystems wurde für das Geschäftsjahr
2023 ein jährlicher Bonus (Short-Term Incentive
(STI)) definiert, der ausschließlich auf der Erreichung von
Zielen aus dem Bereich Umwelt, Soziales und Governance
(ESG) basiert.</t>
  </si>
  <si>
    <t>LTI enthält keine ESG Ziele und beachtet nur das CAGR Umsatzwachstum in der 4j Periode.</t>
  </si>
  <si>
    <t>Kunde, Net Promoter Score</t>
  </si>
  <si>
    <t>STI setzt sich zusammen aus EBIT und dem
Adjusted Free Cashflow, die mit jeweils 40 % eingehen und ESG Zielen mit 20%. Die Ziele „Kunde“ und „Mitarbeiter“ gehen jeweils mit 10 % in den Jahresbonus 2023 ein. Es gibt außerdem noch einen indivuellen Leistungsfaktor, in dem ESG-Ziele eine Rolle spielen können, es wird allerdings nicht näher darauf eingegangen und er wurde 2023 auf 1,05 gesetzt.</t>
  </si>
  <si>
    <t>– Relativer TSR zu NYSE Arca Global Airlines Index (30 %)
– Adjusted ROCE (50 %)
– Reduktion der CO2-Intensität in Gramm CO2 pro Revenue Tonne Kilometer (20 %)
4j Periode</t>
  </si>
  <si>
    <t>STI setzt sich zusammen aus: Wachstumsziel 25%; EPS Ziel 20%; Compliance Ziel 10%; Umsetzung Strategie 25; Zusammenarbeit 10%, indv. Ziele 10% (keine ESG-Anteil). Es gibt keinen CEO, der Vorstand besteht aus einem Vorstandssprecher/ CFO und einem CIO/ COO.</t>
  </si>
  <si>
    <t>Bei den LTI gibt es einne abgetrennte langfristige ESG-Komponente (z. B. Steigerung des MSCI ESG Ratings bis 2026), der allerdings nicht genauer erklärt, und deshalb weder E, S noch G zugeordnet wird. Die "normalen" LTI sind ausschleißlich finanzielle Ziele. Es gibt keinen CEO, der Vorstand besteht aus einem Vorstandssprecher/ CFO und einem CIO/ COO.</t>
  </si>
  <si>
    <t>33,33; 10</t>
  </si>
  <si>
    <t>Next Generation Solutions: Nächste Projektphase Sustainability Data Management zur Erfüllung der EU-Taxonomie-Berichtsanforderungen ist umgesetzt.;
Next Generation Technologies: Integrieren der Nachhaltigkeitsziele in die Allokation des Investitions- und Innovationsbudgets, zum Beispiel Projekt EAGER, Abfall, Wasser. Erarbeiten von Carbon-Footprint-Profilen auf Standortebene.;
Next Generation Culture: Start der Verankerung der Nachhaltigkeitsanforderungen in alle Personalprozesse.</t>
  </si>
  <si>
    <t>Unfallgeschehen Konzern</t>
  </si>
  <si>
    <t>Neben EBITDA(30%), EBITDA-Marge(30%), Free Cashflow (30%) ist auch ein ESG-Ziel (Unfallgeschehen mit 10%) direkt in den STI verankert. Dieses Ergbenis wird noch mit einem Performance-Faktor (0.8-1.2) verrechnet, der zu 1/3 aus Nachhaltigkeitszielen besteht.</t>
  </si>
  <si>
    <t>Steigerung des Portfolioanteils mit überragenden Nachhaltigkeitsprofil</t>
  </si>
  <si>
    <t>Lernen; Gesundheit; Diversity</t>
  </si>
  <si>
    <t>1,33; 1,33; 1,33</t>
  </si>
  <si>
    <t>Die Werthaltigkeit der LTI-Tranche 2023 bestimmt sich zu 80 Prozent aus der Performance der Evonik-Aktie und zu 20 Prozent aus der Zielerreichung von einem oder mehreren Nachhaltigkeitszielen. ESG Ziele: Ziel 1: Reduktion CO₂-Emissionen (Gewichtung 40 Prozent)
Gemessen wurden die absoluten CO₂-Emissionen gemäß der Definition zu Scope 1 und 2 (im Mittel). Die Emissionen wurden einmalig am Ende des Performancezeitraums für das letzte Jahr, somit für das Jahr 2026. Die Emissionen des Kohlekraftwerkes in Marl fließen nicht in die Ist-Wert-Ermittlung mit ein und sind ebenfalls bei der Zielwertermittlung unberücksichtigt geblieben. Signifikante M&amp;A-Projekte (im Regelfall ≥ Business-Line-Level) sind – gemäß jeweiliger Entscheidungs des Aufsichtsrates – entweder aus dem Ziel- oder dem Ist-Wert (2026) herauszurechnen und finden somit korrigierende Berücksichtigung.
Ziel 2: Steigerung des Portfoliowertes mit überdagenem Nachhaltigkeitsprofil („Next Generation Solutions“) (Gewichtung 40 Prozent)
Gemessen wird der Portfoliowert mit überdagenem Nachhaltigkeitsprofil, die „Next Generation Solutions (NGS)“, und zwar einmalig am Ende des Performancezeitraums für das letzte Jahr, somit für das Jahr 2026. Die Ermittlung erfolgt im Rahmen der sogenannten PARC-Analyse.
Ziel 3: Social-Index (Gewichtung 20 Prozent)
Gemessen werden im Rahmen des Social-Index drei Unterziele mit den Inhalten Lernen, Gesundheit und Diversity. Alle drei Unterziele finden gleichgewichtet Berücksichtigung, indem als Zielbewertung für das Ziel „Social-Index“ die durchschnittliche Zielerreichung der drei Unterziele ermittelt wird, und zwar einmalig am Ende des Performancezeitraums für das letzte Jahr, somit für das Jahr 2026.
a) Unterziel „Lernen“
Gemessen wird die Anzahl digitaler Lernstunden je Mitarbeiter bezogen auf die Grundgesamtheit aller Mitarbeiter mit PC-Zugang. Dieser Wert gilt als Indikator für kontinuierliches „Upskilling“ der Belegschaft mittels digitalen Lernens bzw. Shift von Präsenz- zu Online-Trainings.
b) Unterziel „Gesundheit“
Die Gesundheitsquote errechnet sich aus den Sollarbeitsstunden (100 Prozent) abzüglich der Summe von Krankheit im Verhältnis zur Sollarbeitszeit. Herangezogen werden die Länder Deutschland, Belgien, China und USA. Dieser Wert gilt als Indikator für den Erfolg von Maßnahmen zu Führung, Belastungssteuerung, Motivation und Gesundheitsschutz.
c) Unterziel „Diversity“
Gemessen wird der Anteil der Frauen an der Gesamtheit aller Mitarbeiter in den Führungskreisen 1 und 2. Dieser Wert gilt als Indikator für Vielfalt und Chancengleichheit.</t>
  </si>
  <si>
    <t>STI: Umsatzwachstum 15%, EBITDA 30%, operativer CF 5%, neue Allianzen 10%, Weg zur Profilität 10%, Kundenbindung und Umsatz Qualität 10%, ESG 20%. ESG: Umsetzung der SBTi Initiative in allen Standorten und Investition von 1% des Umsatzes zur Erreichung der SBTi Zele (5%, E); Durchführung einer Mitarbeiterumfrage bis Mitte 2023. Definition und Kommunikation der daraus abzuleitenden Ziele für 2024f. (10%, S); Beauftragung von Nachhaltigkeits Champions in jedem Standort um Strukturen zu etablieren, die Nachhaltigkeit und soziale Ziele, sowie nachhaltige standortspezifische Projekte fördern (5%, allgemeines ESG Ziel). Alle ESG-Ziele haben eine ZE von 100%.</t>
  </si>
  <si>
    <t>Revenue Growth 50%, TSR against TecDAX 50%. ESG-Modifier (0,9 -1,0) als allgemeines ESG-Ziel. 4j periode</t>
  </si>
  <si>
    <t>Erarbeitung Konzept Infrastruktur für alternative Antriebe am Standort Frankfurt</t>
  </si>
  <si>
    <t>STI: EBITDA 60%, ROFRA 40%, nichtfinanzielle Kriterien Modifier(0,9-1,1): 1. Steigerung der Prozesseffizienz
2. Vorantreiben Masterplan Dekarbonisierung Konzern
Im Dezember 2021 hat der Vorstand folgendes Klimaschutzziel verabschiedet: „Reduktion der CO²-Emissionen konzernweit um 58 % im Vergleich zum Basisjahr auf 120.000 Tonnen bis zum Jahr 2030“. Zwei Zwischenziele wurden für das Geschäftsjahr 2023 zugrunde gelegt:
 -Freigabe des konkretisierten Masterplans zur vollständigen Dekarbonisierung (Scope 1 und 2) des Fraport-Konzerns für alle beherrschten und umweltrelevanten Tochtergesellschaften weltweit durch den Vorstand.
Hinterlegung aller Maßnahmen des Masterplans im Maßnahmenreporting zur zielgerichteten Umsetzungs- und Fort-schrittskontrolle des oben genannten 
-Dekarbonisierung-Masterplans im Fraport-Konzern.
Zielerreichung 110 %.
3. Erarbeitung Konzept Infrastruktur für alternative Antriebe am Standort Frankfurt
Im Rahmen des im Jahr 2022 beschlossenen Masterplans Dekarbonisierung Frankfurt zielen konkrete Maßnahmen auf die An-triebsumstellung und den emissionsfreien Energiebezug ab (Scope 1 und 2).
Um die Versorgungsinfrastruktur für alternative Antriebe zu schaffen, soll ein Konzept zur Umsetzung der Maßnahme „Voraus-setzungen für den Umstieg auf alternative Antriebe und Kraftstoffe im Bodenverkehr schaffen“ im Jahr 2023 ausgearbeitet und durch den Vorstand verabschiedet werden. Dieses Konzept beschreibt konkrete Maßnahmen zur Umsetzung sowie deren Zeit-horizont und die Finanzierung.
Zielerreichung 110 %.</t>
  </si>
  <si>
    <t>In den LTI sind keine ESG-Ziele verankert. EPS 70%, TSR 30%, 4j Periode</t>
  </si>
  <si>
    <t>Lernstunden pro Mitarbeiter (abgeschlossene Kurse)</t>
  </si>
  <si>
    <t>STI: EBITDA 40%, Bestand werthaltiger Kunden 30%, Strategischer Umsatz 20%, Lernstunden pro Mitarbeiter 10%</t>
  </si>
  <si>
    <t>LTI: EBT 50%, TSR 30%, ESG 20%. Die ESG Ziele für die Tranche 2023 sind noch nicht festgelegt. Auch über die heranzuziehenden Nachhaltigkeitsziele wird
vom Aufsichtsrat jährlich für jede Jahrestranche entschieden.
Der Aufsichtsrat wählt die ESG-Ziele jeweils aus den nachfolgenden
– aus der Wesentlichkeitsanalyse des Unternehmens
abgeleiteten – Kategorien aus: Mitarbeiter, Digitale Verantwortung,
Kundenbelange, betrieblicher Umweltschutz,
Compliance und Integrität sowie Lieferkette und menschenrechtliche
Sorgfalt. Berücksichtigt wird hierbei, dass die Nachhaltigkeitsziele
quantifizierbar sowie transparent sind, sich
von den festgelegten Zielen aus dem STIP unterscheiden und
den Vorstand zu einer nachhaltigen Entwicklung des Unternehmens
motivieren.</t>
  </si>
  <si>
    <t>Entwicklung einer messbaren Nachhaltigkeitsbewertung des Produkt- und Dienstleistungsportfolios</t>
  </si>
  <si>
    <t>Patientenzufriedenheit / Net Promoter Score</t>
  </si>
  <si>
    <t>STI: Umsatzerlöse (20%), operatives Ergebnis 20%, Konzernergebnis 40%, ESG 20%. 
Neben den finanziellen Erfolgszielen wurde mit dem Vergütungssystem 2020+ Nachhaltigkeit als nichtfinanzielles Erfolgsziel in der kurzfristigen variablen Vergütung verankert. Das nichtfinanzielle Erfolgsziel bekräftigt das Engagement der Gesellschaft für die Integration von Nachhaltigkeit in der Unternehmensstrategie und die Umsetzung der globalen Nachhaltigkeitsziele.
Für das Geschäftsjahr hat der Aufsichtsrat als nichtfinanzielles Erfolgsziel für die kurzfristige variable Vergütung drei gleich gewichtete Nachhaltigkeitskriterien festgelegt: Patientenzufriedenheit, Mitarbeiterzufriedenheit und die Entwicklung einer messbaren Nachhaltigkeitsbewertung des Produkt- und Dienstleistungsportfolios des Unternehmens.</t>
  </si>
  <si>
    <t>Keine ESG Bestandteile. Je zu 1/3: Wachstum der Umsatzerlöse; Wachstum des Konzernergebnisses; ROIC</t>
  </si>
  <si>
    <t>Etablierung
einer anerkannten Berechnungsmethode für das „Lifecycle Assessment“ eines Schmierstoffs</t>
  </si>
  <si>
    <t>Net Promoter Score</t>
  </si>
  <si>
    <t>transparenten Corporate Governance Aktivitäten; strebt CSR-Berichtspflichten an und stellt frühzeitig die Weichen im Konzern; Nachfolgeplanung</t>
  </si>
  <si>
    <t>Die erfolgsabhängige Vergütung für den STI und LTI berechnet sich einheitlich gemäß folgender Formel:
(EBIT-eingesetztes Kapital*WACCC)*Nachhaltigkeitsfaktor*indivduellem Anteil
Von dem ermittelten Wert erhält der Vorstandsvorsitzende einen Individuellen Anteil von 0,64 % und die
weiteren Mitglieder des Vorstands jeweils einen Individuellen Anteil von 0,32 %. Die erfolgsabhängige
Vergütung wird im März nach der Sitzung des Aufsichtsrats über die Feststellung des Jahresabschlusses
des vorhergehenden Geschäftsjahres ausgezahlt.
Der Nachhaltigkeitsfaktor für das Geschäftsjahr 2023 wurde vom Aufsichtsrat im Rahmen einer wertenden
Gesamtbetrachtung mit 1,2 festgelegt. Ausschlaggebende Kriterien für die Festsetzung des Nachhaltigkeitsfaktors
für das Geschäftsjahr 2023 sind wie folgt; hierbei wurden die Teilziele in einer Gesamtschau
unterschiedlich - gewichtet: Das Teilziel Ökologie wurde unter Berücksichtigung, dass das Thema Nachhaltigkeit in der gesamten
Organisation präsent ist, mit einem Faktor von 1,10 bewertet. In die Berücksichtigung ist insbesondere
eingeflossen, dass die Scope 1 bis 3 Ziele im Rahmen der Ziele für 2025 (Cradle-to-Gate CO2 neutrale
Produkte) und 2040 (Cradle-to-Grave-Scope) definiert sind. Ein weiterer Meilenstein ist die Etablierung
einer anerkannten Berechnungsmethode für das „Lifecycle Assessment“ eines Schmierstoffs. - Das Teilziel Ökonomie wurde unter Berücksichtigung der Performance im Vergleich zur Marktlage sowie
zur Peer Group mit einem Faktor von 1,25 bewertet. Hierbei eingeflossen sind die Rekordergebnisse bei
Umsatz, EBIT und Free Cashflow in einem äußerst schwierigen Marktumfeld. Während andere Unternehmen
ihre Prognose im Laufe von 2023 nach unten anpassen mussten, konnte FUCHS seine Prognose
übererfüllen und den Markterwartungen gerecht werden. Dies gelang trotz der Auswirkungen des Kriegs
in der Ukraine und der Sanktionen gegen Russland, des Gaza Kriegs, den Streiks in der US-Automobilindustrie
sowie einer sich nur schrittweise von den Folgen der Null-COVID Politik entwickelnden chinesischen
Wirtschaft. Auch im Peer-Group-Vergleich zu verschiedenen, international tätigen Unternehmen
aus der Chemiebranche sowie Kunden und Lieferanten der Schmierstoffbranche konnte sich FUCHS
bezogen auf die Umsatz- und EBIT-Entwicklung überdurchschnittlich behaupten. - Das Teilziel Soziales wurde unter Berücksichtigung der transparenten Corporate Governance Aktivitäten
mit einem Faktor von 1,15 bewertet. Die verschiedenen Governance Systeme wurden extern geprüft,
zudem geht das Unternehmen entschlossen die Herausforderungen der künftigen CSR-Berichtspflichten
an und stellt frühzeitig die Weichen im Konzern. Sowohl bei der Unternehmenskultur in Form des Net
Promotor Score als auch bei der Nachfolgeplanung konnten weitere Fortschritte erzielt werden. Der neu
zusammengesetzte Vorstand hat sich sehr gut zusammengefunden bei gleichzeitiger Umsetzung der
unternehmensweiten FUCHS 2025 Ziele.</t>
  </si>
  <si>
    <t>Fluktation/ Mitarbeiterbindung: Transparenz schaffen und Maßnahmen ergreifen</t>
  </si>
  <si>
    <t>STI: EBITDA 50%, ROCE 50%, verrechnet mit Modifier (0.8-1.2), der 1 von 3 Zielen ESG hat, ZE 120%.</t>
  </si>
  <si>
    <t>Nachhaltige Produktinnovation</t>
  </si>
  <si>
    <t xml:space="preserve">LTI: 60% TSR, 40% ESG.
Reduzierung der Treibhausgas-Emissionen in Scope 1 und 2*
- Gegenstand des Ziels ist das Erreichen definierter Reduktionsziele bzgl. Treibhausgas-Emissionen in Scope 1 und 2.
- Grundlage für die Bewertung der Zielerreichung ist das jene jährliche Reduktionsziel für Scope 1 und 2 von insgesamt minus 80 Prozent bis 2030 (ausgehend vom Basisjahr 2019).
- Eine Zielerreichung von 100 Prozent ist gegeben, wenn jeweils das lineare jährliche Reduktionsziel erreicht wird.
- In Falle von M&amp;A-Aktivitäten wird das Bewertungsmodell gemäß den Bedingungen der Science Based Targets Initiative (SBTi) angepasst.
- Das Ziel ist mit 10 Prozent des LTI gewichtet.
Reduzierung der Treibhausgas-Emissionen in Scope 3**
- Gegenstand des Ziels ist das Erreichen definierter Reduktionsziele bzgl. Treibhausgas-Emissionen in Scope 3, die umfasst indirekten Emissionen, die in der Wertschöpfungskette des Unternehmens entstehen, einschließlich Vor- und nachgelagerter Stufen.
- Grundlage für die Bewertung der Zielerreichung ist das jene jährliche Reduktionsziel für Scope 3 von insgesamt minus 27,5 Prozent bis 2030 (ausgehend vom Basisjahr 2019).
- Eine Zielerreichung von 100 Prozent ist gegeben, wenn jeweils das lineare jährliche Reduktionsziel erreicht wird.
- In Falle von M&amp;A-Aktivitäten wird das Bewertungsmodell gemäß den Bedingungen der SBTi angepasst.
- Das Ziel ist mit 10 Prozent des LTI gewichtet.
Nachhaltige Produktinnovation
- Gegenstand des Ziels ist das Erreichen eines bestimmten jährlichen Umsatzvolumens aus Produkten, die nicht älter als 5 Jahre sind.
- Das Ziel ist mit 20 Prozent des LTI gewichtet.
</t>
  </si>
  <si>
    <t>Anteil Strom aus erneuerbaren Energien</t>
  </si>
  <si>
    <t>Freiwillige Weiterbildungsstunden pro Mitarbeiter; Lost Time Incident Rate</t>
  </si>
  <si>
    <t xml:space="preserve">EcoVadis Nachhaltigkeitsrating </t>
  </si>
  <si>
    <t>STI: Adjusted EBITDA 65%, Umsatzerlöse 20%, Net Working Capital 15%. Das wird dann mit dem ESG-Faktor (0.8-1.2) verrechnet. Die nachhaltigkeitsbezogenen Ziele resultieren aus gleichgewichteten
Kennzahlen aus den Bereichen Environment (Umweltschutz),
Social (soziale Komponenten) und Governance (nachhaltige Unternehmenssteuerung).
Sie leiten sich jeweils aus der Nachhaltigkeitsstrategie
des Gerresheimer Konzerns ab: Anteil Strom aus
erneuerbaren Energien (Environment), Anzahl Arbeitsunfälle pro
1 Million Arbeitsstunden (Lost Time Incident Rate) sowie freiwillige
Weiterbildungsstunden pro Mitarbeiter (beide Ziele gleichgewichtet
mit jeweils 50 % für Social) sowie Nachhaltigkeitsranking durch
EcoVadis, einen führenden Anbieter von Nachhaltigkeitsbewertungen
(Governance). Die nachhaltigkeitsbezogenen Ziele sind als
sogenannter ESG-Faktor mit den operativen Zielen in der Weise
verbunden, dass der vorläufige Auszahlungsbetrag für die operativen
Ziele mit dem ESG-Faktor multipliziert wird. Der ESG-Faktor
wird anhand der Zielerreichung der drei ESG-Ziele ermittelt und
liegt zwischen 0,8 und 1,2.</t>
  </si>
  <si>
    <t>Keine LTI ESG Ziele. Organische Wachstumsrate (75%) und Adjusted EPS (25%) werden mit TSR verrechnet.</t>
  </si>
  <si>
    <t>spezifische CO2 intensität</t>
  </si>
  <si>
    <t>Unfallrate</t>
  </si>
  <si>
    <t>EBT 35%, OFCF 15%, Hebung von Synergiepotenzial 7,5%, Entwicklung des Auftragseingangs 6,125%, Bruttokosten für Forschung und Entwicklung der HELLA Gruppe in Prozent des Gesamtumsatzes 3,25% , ESG-Ziele in den Dimensionen Unfallrate und spezifische CO₂-Intensität 7,5%, Segmentziele gesamte Hella gruppe 25%.</t>
  </si>
  <si>
    <t>OFCF 45%, EBIT Marge 30%, Geschlechterdiversität 10%, CO2 Reduktion 15%.</t>
  </si>
  <si>
    <t>Keine STI ESG Ziele. Den Mitgliedern des Vorstands werden als kurzfristige variable Vergütung RSUs unter dem bei der Gesellschaft bestehenden Restricted Stock Unit Program („RSUP 2019“) gewährt, welche grundsätzlich 25 % der variablen Zielvergütung ausmachen.
Die Anzahl der zu gewährenden RSUs wird ermittelt, indem der Teilbetrag des Gesamtzuteilungsbetrags, der auf die RSUs entfällt, durch den Wert einer Aktie der Gesellschaft am Gewährungstag, der im jeweiligen typischerweise jährlichen Gewährungsvertrag festgelegt wird („Gewährungstag“), geteilt und auf die nächste ganze Zahl abgerundet wird.</t>
  </si>
  <si>
    <t>Lebensmittelabfälle pro Euro Umsatz der HelloFresh-Gruppe</t>
  </si>
  <si>
    <t>LTI: Umsatzerlöse 40%, AEBITDA 40%, Lebensmittelabfälle pro Euro Umsatz der HelloFresh-Gruppe 10%, CO2-Emissionen pro Euro Umsatz der HelloFresh-Gruppe 10%.</t>
  </si>
  <si>
    <t>Keine STI ESG Ziele. Zu je 1/3 Free Cashflow, EBITDA und Konsolidierter Umsatz.</t>
  </si>
  <si>
    <t>Diversity</t>
  </si>
  <si>
    <t>LTI: TSR ggü MDAX 35%, Order Intake 30%, Diversity 10, Climate Impact 10%, SAP S/4HANA 15%
Das Ziel „Diversity“ ist auf die Erreichung bestimmter Frauenquoten auf verschiedenen Unternehmensebenen gerichtet.
Durch das Ziel „Climate Impact“ wird eine Steigerung des Anteils erneuerbarer Energien an der durch die HENSOLDTGruppe
verbrauchten Energie und eine Senkung des CO2-Ausstoßes angestrebt</t>
  </si>
  <si>
    <t>Entwicklung einer Dekarbonisierungs-Roadmap (Net-Zero-Pfad) für den HOCHTIEF-Konzern</t>
  </si>
  <si>
    <t xml:space="preserve">STI und LTI sind identisch aufgabaut. Konzerngewinn 45%, bereinigter FCF 45%, ESG 10%. </t>
  </si>
  <si>
    <t>Keine ESG STI Ziele. 40% EBIT, 30% Umsatz, 30% TNWC (Trade Net Working Capital)</t>
  </si>
  <si>
    <t>Nachhaltigkeit (nicht näher erklärt)</t>
  </si>
  <si>
    <t>je 1/3 RTSR, ROCE, ESG. Dies wird dann noch mit dem Aktienkurs verrechnet. Die beiden ESG Ziele werden nicht genauer beschrieben</t>
  </si>
  <si>
    <t>Steigerung der Innovationskraft: prozentualer Umsatzanteil von Produkten und Leistungen, die innerhalb der letzten 3 Jahre entwickelt wurden</t>
  </si>
  <si>
    <t>Leistungskriterien:
- 40 % Umsatzwachstum
- 40 % EBITDA-Marge
- 20 % Cash-Conversion-Rate
- Multiplikator (0.8 – 1.2) zur Beurteilung der individuellen und kollektiven Leistung des Vorstands sowie von ESG-Zielen</t>
  </si>
  <si>
    <t>Steigerung der Diversität</t>
  </si>
  <si>
    <t>CSR-Rate</t>
  </si>
  <si>
    <t>Leistungskriterien:
- 30 % Return on Capital Employed (ROCE)
- 25 % Relativer Total Shareholder Return (TSR) gegen den TecDax
- 25 % Relativer Total Shareholder Return (TSR) gegen individuelle Vergleichsgruppe
- 20 % ESG-Ziele</t>
  </si>
  <si>
    <t>Ausrüstungsquote Lithium-Ionen</t>
  </si>
  <si>
    <t>Ein ESG STI Ziel. Die STI bestehen aus: EBT-Umsatzrendite 45%, Umsatzsteigerung 35%, Ausrüstungsqoute Lithium-Ionen 20% (ESG Ziel, weil Lithium-Ionen-Technologie im Vergleich zu traditionellen Blei-Säure-Batterien mehrere ökologische Vorteile bietet). Außerdem gibt es noch einen diskretionären Faktor (0,8-1,2), der 2023 1,0 betragen hat.</t>
  </si>
  <si>
    <t>Ein ESG LTI Ziel. Die LTI bestehen aus: ROCE 60%, Relativer Total Shareholder Return ggn. Peergroup 20%, Ausrüstungsqoute Lithium-Ionen 20% (ESG Ziel, weil Lithium-Ionen-Technologie im Vergleich zu traditionellen Blei-Säure-Batterien mehrere ökologische Vorteile bietet). Außerdem gibt es noch einen diskretionären Faktor (0,8-1,2), der 2023 1,0 betragen hat.</t>
  </si>
  <si>
    <t>Keine STI ESG Ziele. Es wird nur das EBITDA und ein Performancefaktor (strategische Ziele) beachtet.</t>
  </si>
  <si>
    <t>Gesundheit und Arbeitssicherheit: Lost Time Incident Rate</t>
  </si>
  <si>
    <t>Geschäftsethik und Menschenrechte: nachhaltige Lieferketten</t>
  </si>
  <si>
    <t>Die LTI sind in LTI I und LTI II mit je 50% Gewichtung aufgeteilt. LTI I besteht ausschließlich aus ESG Zielen. Für das LTI II ist die Kursentwicklung der K+S Aktie im
Vergleich zur Entwicklung des MDAX</t>
  </si>
  <si>
    <t>ISO-Zertifizierungsgrad</t>
  </si>
  <si>
    <t>Lost-Time Injury Frequency Rate</t>
  </si>
  <si>
    <t>Umsatz 20%, EBIT-Marge 30%, FCF 30%, ESG 20%. Es gibt außerdem einen individuellen Leistungsfaktor, der allerdings keine ESG Ziele beinhaltet.
 Die nichtfinanziellen Bemessungsgrundlagen knüpfen an ESG-Ziele an. Als nichtfinanzielle Ziele für den STI 2023 hat der Aufsichtsrat die folgenden beiden Ziele festgelegt, die jeweils mit zehn Prozent gewichtet werden:
• Aus dem Themenfeld „Arbeitssicherheit &amp; Gesundheit“ fließt die sogenannte Lost-Time In-jury Frequency Rate (LTIFR) der KION Group, welche die Häufigkeit von Unfällen mit da-rauffolgendem Zeitausfall von mindestens einer Schicht je eine Mio. Arbeitsstunden angibt, in die Bemessung des STI 2023 ein.
• Aus dem Themenfeld „Nachhaltigkeit und Umwelt“ wurde als nichtfinanzielle Bemessungs-grundlage für den STI 2023 der ISO-Zertifizierungsgrad von Standorten der KION Group nach Umwelt- und Arbeitssicherheitskriterien (ISO 14001 und ISO 45001) als Zielgröße festgelegt.</t>
  </si>
  <si>
    <t>Mitarbeiterbefragung: Teilnahmequote</t>
  </si>
  <si>
    <t>S&amp;P Global CSA Rating</t>
  </si>
  <si>
    <t>ROCE 40%, relativer TSR 40%, ESG 20%. Dann noch verrechnet mit Aktienkurs und indv. Leistungsmultiplikator. Aus dem Themenfeld „Arbeitgeberattraktivität“ werden die Ergebnisse einer jährlichen Mit-arbeiterbefragung einbezogen. Zu jeweils fünf Prozent fließen dabei die Teilnahmequote und der sogenannte Engagement Score, mit dem die Motivation und das Engagement der Mitarbeitenden gemessen wird, ein.
• Aus dem Themenfeld „Nachhaltigkeit und Umwelt“ wurde als nichtfinanzielle Bemessungs-grundlage für den LTI 2021 bis 2023 das Ergebnis des unabhängigen Nachhaltigkeitsratings S&amp;P Global CSA als Zielgröße festgelegt, welches das Gesamtunternehmen und dessen Entwicklung nach verschiedenen Kriterien beurteilt</t>
  </si>
  <si>
    <t>20; 20</t>
  </si>
  <si>
    <t>Entwicklung der Anzahl
der Arbeitsunfälle pro 200.000 Arbeitsstunden</t>
  </si>
  <si>
    <t>verschiedene ESG-Ratings</t>
  </si>
  <si>
    <t>Leistungskriterien
- EBIT* (30 %)
- Umsatz* (20 %)
- Free Cashflow* (20 %)
- ESG* (20 %)
- Qualität (10 %)
- Modifier (0,8-1,2) zur Beurteilung der individuellen und kollektiven
Leistung des Vorstands sowie von Stakeholder-Zielen. 
Im Modifier ist ein Ziel mit 20% Gewichtung die allgemeine Zielerreichung der ESG-Ziele.</t>
  </si>
  <si>
    <t>Keine ESG LTI Ziele. Gesamtzielerreichung =
Zielerreichung EPS x 50 %
+ Zielerreichung relativer TSR x 50 %</t>
  </si>
  <si>
    <t>Keine ESG STI Ziele. 60% EBIT-Marge, 40% Umsatz.</t>
  </si>
  <si>
    <t>Leistungskriterien:
Komponente 1 (85 %)
Enterprise Value nach 3-Jahres-Durchschnitt (EBT mal 9,
EBITDA mal 7, Umsatz mal 1) für Start- und Endwert plus
Net Cash und abzüglich Pensionsrückstellungen
Komponente 2 (15%)
Environmental, Social, Governance-Ziel: CO2-Ziel (in
Tonnen) und Frauenanteil in Führungspositionen (in %)</t>
  </si>
  <si>
    <t>Million-Arbeitsstunden-Quote (MAQ) der Unfälle
mit Ausfalltagen</t>
  </si>
  <si>
    <t>EBITDApre 80%, Million-Arbeitsstunden-Quote (MAQ) der Unfälle mit Ausfalltagen 20%. Der Aufsichtsrat behält sich weiterhin vor, eine Kürzung
des APP vorzunehmen, sollten gravierende Arbeitssicherheits- und/oder Umweltprobleme auftreten.</t>
  </si>
  <si>
    <t>Aktienkursentwicklung 60%, ESG 40%, 4j Periode</t>
  </si>
  <si>
    <t>Lösungsgeschwindigkeit für Anfragen von Mietern im Umgang mit offenen Forderungen</t>
  </si>
  <si>
    <t>AFFo je Aktie 40%, Bereinigte EBITDA-Marge 40%, ESG 20%, anpassungsfaktor (0,8 - 1,2) mit dem Ziel "Erfolgreiche Führung der LEG in einem vom Ukrainekrieg, den
Herausforderungen der Klimakrise und einem unsicheren finanzwirtschaftlichen Umfeld mit hohen Zinsen und hoher Inflation geprägten Markt", gewertet mit 1.0.</t>
  </si>
  <si>
    <t>Zielbetrag verrechnet mit Fair Value, dann Relativer Total Shareholder Return im Vergleich zu relevantem Immobilien-Index 80%, ESG 20%, 4j Periode</t>
  </si>
  <si>
    <t>Keine ESG STI Ziele. Berechnung aus Umsatz Nemetschek Group, EBITDA Nemetschek Group, Modifier Subscription &amp; SaaS Sales Nemetschek Group, Teilauszahlungsbetrag finanzieller Leistungsziele Nemetschek Group nach Modifier, Umsatz Operate &amp; Manage Division, Sonderziel Umsatz Media &amp; Entertainment Division, Ziel Digital Twin Business, Ziel Venture Business, Ziel Transformation, Ziel Media &amp; Entertainment Business.</t>
  </si>
  <si>
    <t>Der LTIP (Langfristiges Leistungsanreizprogramm) basiert wesentlich auf dem Erreichen festgelegter Unternehmensziele, die sich auf die Entwicklung von bereinigtem EBITDA, EBITA und EBT konzentrieren. Der Leistungszeitraum für diese Ziele beträgt drei Geschäftsjahre. Keine ESG Ziele.</t>
  </si>
  <si>
    <t>EBITDA 50%, Working Capital Ratio 20%, Auftragseingangsqualität 20%, ESG 5%, Qualitätskosten und Technologiemangementkosten 5%.</t>
  </si>
  <si>
    <t>Frauenanteil in Managementpostionen</t>
  </si>
  <si>
    <t>Entwicklung des RTSI im Vergleich zu einer geeigneten Vergleichsgruppe (DAX, MDAX und TecDAX): Gewichtung 80%
Frauenanteil in Managementpositionen in der Nordex Group: Gewichtung 20%. Aktienkurs wird auch beachtet.</t>
  </si>
  <si>
    <t>Klimaveränderung eigene Betriebe; Nachhaltige Produkte eigene Betriebe; Klimaveränderung Lieferkette; Wasserverbrauch Lieferkette; Nachhaltige Produkte Lieferkette</t>
  </si>
  <si>
    <t>1,25; 1,25; 1; 1; 1</t>
  </si>
  <si>
    <t>Menschenrechte eigene Betriebe; Gesundheit und Sicherheit eigene Betriebe; Menschenrechte Lieferkette; Gesundheit und Sicherheit Lieferkette</t>
  </si>
  <si>
    <t>1,25; 1,25; 1; 1</t>
  </si>
  <si>
    <t>EBIT 60%, FCF 20%, indv. Ziele ( 1 von 4 ESG) 10%, Sunstainability- Ziele 10%.</t>
  </si>
  <si>
    <t>Keine ESG Ziele. Es werden TSR im Vergleich zum MDAX und der Aktienskurs beachtet.</t>
  </si>
  <si>
    <t>STI nur nach Ergebnis nach Steuern</t>
  </si>
  <si>
    <t>hohe Energieeffizienz der Kochsysteme; Vollständige Implementierung einer Nachhaltigkeitsstrategie</t>
  </si>
  <si>
    <t>12,5; 12,5</t>
  </si>
  <si>
    <t>ROCE 75; ESG 25%. 3j Periode. Die für die nicht-finanzielle LTI-Komponente maßgeblichen nicht-finanziellen Leistungskriterien werden vom Aufsichtsrat insbesondere durch die Vorgabe von sozialen, kundenund mitarbeiterorientierten sowie ökologischen Zielen festgesetzt. Hierdurch wird die nachhaltige Entwicklung des Unternehmens gefördert. Die nicht-finanziellen Leistungskriterien werden im Allgemeinen für den Gesamtvorstand, in Einzelfällen auch als Individualziele festgesetzt. Aus längerfristigen Planungen strategischer oder operativer Natur setzt der Aufsichtsrat ein oder mehrere längerfristige Ziele für die Performance Periode von drei Jahren fest; darüber hinaus setzt er einen Zielbetrag für die nicht-finanzielle LTI-Komponente fest, der bei einer LTI-Gesamtzielerreichung 25 % des LTI entspricht.</t>
  </si>
  <si>
    <t>Es gibt keine STI.</t>
  </si>
  <si>
    <t>"Both the 2019 Stock Option Plan and the 2020 Stock Option Plan did not include any performance criteria
and therefore do not comply with the best practice 3.1.2 (v) from the Corporate Governance Code." Die aktuellen LTI Pläne sind nicht an Performance gebunden, 2023 wurde ein neuer Plan entwickelt, der performativ ist und auch ein ESG Ziel beinhaltet. Dieser wird allerdings erst ab dem GJ 2024 verwendet.</t>
  </si>
  <si>
    <t>Sehr ungenaue Beschreibung, es gibt allerdings keine ESG Ziele. STIP setzten sich zusammen aus: Fincail, business and leadership targets.</t>
  </si>
  <si>
    <t>Sehr ungenaue Beschreibung, es gibt allerdings keine ESG Ziele. Targets of the LTI are based on the financial metric Adjusted EBITA.</t>
  </si>
  <si>
    <t>Women in Leadership; International Diversity</t>
  </si>
  <si>
    <t>15; 15</t>
  </si>
  <si>
    <t>Women in Leadership</t>
  </si>
  <si>
    <t>Umsatz 35%, ooEBITDA 35%; ESG 30%.</t>
  </si>
  <si>
    <t>Keine ESG LTI Ziele. Je 1/3: Umsatzwachstum; ooEBITDA Wachstum; Steigerung der auf der Plattform erfassten Immobilienobjekte + Steigerung der kommissionsbasierten Immobilientransaktionen. Aktienkurs wird auch beachtet.</t>
  </si>
  <si>
    <t>Siliziumausbeute; Wasserverbrauch; Recycling</t>
  </si>
  <si>
    <t>2; 2; 2</t>
  </si>
  <si>
    <t>Arbeitssicherheit</t>
  </si>
  <si>
    <t>EBIT 40%, Netto CF 40%; Bau Fabrik 10%, ESG 10%. Granulare ZE der ESG-Ziele ist nicht angegeben, allgemeine ESG ZE beträgt 51%. Die vom Aufsichtsrat festgelegten quantitativen ESG-Ziele (10 Prozent) umfassen Kennzahlen zur Vermeidung von Arbeitsunfällen (gemessen anhand von Arbeitsunfällen mit Ausfallzeiten pro Million geleisteter Arbeitsstunden), zum effizienten Einsatz von Silizium in der Waferherstellung (gemessen anhand der Siliziumausbeuten), zur Verringerung des spezifischen Wasserverbrauchs und der Greenhouse- Gas-Emissionen, zur Umsetzung der verabschiedeten Klimastrategie sowie zur Recyclingquote, die sich insgesamt zu einem ESG-Performance-Index zusammensetzen.</t>
  </si>
  <si>
    <t>Keine ESG LTI Ziele. EBIT 50%, EBITDA-Margenverbesserung ggü. Wetbewerbern 50%. 4j Periode.</t>
  </si>
  <si>
    <t>Sehr ungenaue Beschreibung, es gibt allerdings keine ESG Ziele. STIP: ausgewiesenen Ergebnis der gewöhnlichen Geschäftstätigkeit vor Steuern (EBT) als Performancekennzahl.</t>
  </si>
  <si>
    <t>Sehr ungenaue Beschreibung, es gibt allerdings keine ESG Ziele. LTI: Maßgeblich ist die Erreichung eines bestimmten
EBT als Performancekennzahl. Die Anzahl der zugeteilten
virtuellen Stammaktien ergibt sich aktuell aus einem bestimmten
Bruchteil des EBT des letzten abgelaufenen Geschäftsjahres,
höchstens jedoch einem vereinbarten Cap, dividiert durch den
volumengewichteten Durchschnittskurs der Sixt SE Stammaktie im Xetra-Handel der Frankfurter Wertpapierbörse während der letzten zehn Handelstage vor dem Datum der Zuteilung der virtuellen Aktien.</t>
  </si>
  <si>
    <t>Anteil von Frauen an der Gesamtbelegschaft</t>
  </si>
  <si>
    <t>Umsatz 30%, EBIT-Marge 40%, FCF 15%, Anteil von Frauen 15%.</t>
  </si>
  <si>
    <t>Das Vergütungssystem 2023 sieht anstelle nur eines finanziellen Leistungsziels als Grundlage einer mehrjährigen Vergütung die wenigstens gleichgewichtige Festlegung eines finanziellen und eines nichtfinanziellen Leistungszieles vor. Bei einer nicht gleichgewichtigen Festlegung muss weiter der Anteil des nichtfinanziellen Leistungsziels überwiegen. Allerdings werden weder das finanzielle noch das nicht finanzielle Ziel benannt bzw. erklärt. Darüber hinaus ist der ESG-Faktor (0,8-1,2) des Vergütungssystems 2021 entfallen. 3j periode.</t>
  </si>
  <si>
    <t>Berechnung STI: Adj. EBIT 70%, Adj. FCF 30%. Außerden gibt es einen Modifier (0,8-1,2), der ESG Ziele enthalten kann, das ist allerdings 2023 nicht der Fall. Im Geschäftsjahr 2022/2023 hat der Vorstand besondere Herausforderungen aufgrund der Akquisition von DESTACO sowie der Durchführung strategischer Projekte (unter anderem Restrukturierung Standort Koblenz, erste online-Hauptversammlung im Februar 2023) erfolgreich bewältigt. Für Herrn Dr. Büchsner wird ein Multiplikator von 1,1 und für Herrn Bauerreis ein Multiplikator von 1,2 festgelegt.</t>
  </si>
  <si>
    <t>Es gibt einen Perfomance Share Plan (PSP)(90% der Grundvergütung, Cap 250%) und ESG-LTI (20% der Grundvergütung, Cap 150%), die ich hier zusammengefasst habe, um die Vergleichbarkeit mit den anderen Unternehmen zu erhalten. Der PSP berechnet sich aus dem relativen TSR ggü. MDAX (70%) und der adj. EBIT-Marge (30%). DEr ESG-LTI berechnet sich aus der CO2-Reduzierung (50%, E-Ziel) und der Weiterentwicklung der ESG-Strategie (50%, allgemeines ESG Ziel, Gewichtung im LTI 9,09%).</t>
  </si>
  <si>
    <t>Keine ESG-Ziele. STI basiert nur auf Cash-Flow aus operativer Geschäftstätigkeit. Ab 2024 soll ein ESG-Faktor eingeführt werden.</t>
  </si>
  <si>
    <t>Keine ESG Ziele. LTI basiert auf EBIT und Umsatz-Wachstum (je 50%).</t>
  </si>
  <si>
    <t>Risikobewertung durch eine externe ESG-Rating-Agentur</t>
  </si>
  <si>
    <t>EPRA NTA je Aktie 15%, FFO I je Aktie 75%, Risikobewertung durch eine externe ESG-Rating-Agentur 10%. Erreichung des nicht-finanziellen Ziels auf Grundlage der Risikobewertung durch die externe ESG-Rating-Agentur Sustainalytics: o „Risiko vernachlässigbar“: Vergütung von TEUR 25 o „Risiko gering“: Vergütung von TEUR 15 o „Risiko mittel“: Vergütung von TEUR 5 o „Risiko hoch“ oder „Risiko schwerwiegend“: keine Vergütung</t>
  </si>
  <si>
    <t>Mieterzufriedenheit; Soziale Projekte innerhalb der TAG-Stiftung von mindestens TEUR 150 p. a.</t>
  </si>
  <si>
    <t>8; 4</t>
  </si>
  <si>
    <t>TSR 80%, Erreichung nicht-finanzieller Ziele (Gewichtung: 20%). Diese nicht-finanziellen Ziele („ESG-Ziele“) wurden vom Aufsichtsrat ausgewählt, da sie eine wichtige Rolle im Zusammenhang mit den strategischen Nachhaltigkeitszielen der TAG spielen. Die Dekarbonisierung des deutschen-Portfolios, dem überwiegenden Immobilienvermögen der TAG, ist eine der wichtigsten Herausforderungen im Bereich Umwelt („E“). Eine hohe Mieterzufriedenheit und kontinuierliches nachbarschaftliches Engagement durch soziale Projekte in den von der TAG bewirtschaften Regionen sind zentrale Bausteine im Bereich Soziales („S“). Der Bereich Governance („G“) ist im STIP bereits durch das dort implementierte nicht-finanzielle Ziel abgedeckt.</t>
  </si>
  <si>
    <t>Weiterentwicklung und Umsetzung Nachhaltigkeitsstrategie zur Positionierung der Talanx als nachhaltiger Konzern in den Dimensionen Versicherungstechnik, Kapitalanlage und Reduktion der Emissionen</t>
  </si>
  <si>
    <t>Veränderung OHCScore 2022/2023, Relative Verbesserung des OHC-Score im Fokusgebiet. Bei dem OHC-Score handelt es sich um das Ergebnis der jährlich stattfindenden Mitarbeiterumfrage zur Unternehmenskultur innerhalb der Organisation der Talanx
(„Organizational Health Check“). Im Geschäftsjahr 2023 hat der Talanx OHC zum fünften Mal stattgefunden</t>
  </si>
  <si>
    <t>STI basiert auf Konzern-ROE und einem indv. Leistungsfaktor der ESG-Ziele enthalten kann.</t>
  </si>
  <si>
    <t>LTI Zielbetrag wird identisch wie STI berechnet. Danach wird noch der Aktienkurs und der relative TSR betrachtet.</t>
  </si>
  <si>
    <r>
      <t>STI wird durch Billings (50%) und EBITDA (50%) berechnet, danach gibt es einen indv. Leistungsfaktor bei dem ESG-Ziele vorkommen können. Beim CEO ist 1 von 6 erwähnten Zielen ESG, dies ist ein allgemeines ESG Ziel. Seine Ziele: Die individuelle Zielerreichung wurde insbe-sondere am Aufbau einer führenden globalen Tech-Marke sowie der Stärkung der Organisa-tionsstruktur und der Prozesse, an der Ent-wicklung einer mittelfristigen Strategie und der M&amp;A-Agenda für 2023-2025, an der Kom-munikation der Unternehmensstrategie, an der Wachstumsinitiative im Bereich des Enter-prise-Geschäfts in IT und OT, an der Steige-rung des Wachstums und der Innovation im SMB-Geschäft sowie an der weiteren</t>
    </r>
    <r>
      <rPr>
        <b/>
        <sz val="11"/>
        <color theme="1"/>
        <rFont val="Aptos Narrow"/>
        <family val="2"/>
        <scheme val="minor"/>
      </rPr>
      <t xml:space="preserve"> Verbes-serung der ESG-Ratings gemessen</t>
    </r>
    <r>
      <rPr>
        <sz val="11"/>
        <color theme="1"/>
        <rFont val="Aptos Narrow"/>
        <family val="2"/>
        <scheme val="minor"/>
      </rPr>
      <t>. Der gesamte Faktor hat eine ZE von 116,25%.</t>
    </r>
  </si>
  <si>
    <t>Beteiligungen von Frauen in Führungspostionen; Net Promoter Score</t>
  </si>
  <si>
    <t>10; 10</t>
  </si>
  <si>
    <t>Beteiligungen von Frauen in Führungspostionen</t>
  </si>
  <si>
    <t>LTI: Billingswachstum (15%), EBITDA Wachstum (15%); Net Promoter Score (10%); Beteiligung von Frauen in Führungspositionen(10%); Relative Aktienrendite ggü. STOXX® 600 Technology (25%); Relative Aktienrendite ggü. MDAX®(25%). 4j Periode</t>
  </si>
  <si>
    <t>Keine ESG Ziele. Jahresüberschuss 35%, FCF vor M&amp;A 35%, indv. Leistung (keine ESG Ziele) 30%.</t>
  </si>
  <si>
    <t>Anteil von Frauen in Führungspositionen</t>
  </si>
  <si>
    <t>TSR 30%, ROCE 40%, Nachhaltigkeit 30%. 4j Periode</t>
  </si>
  <si>
    <t>Entwicklung einer Nachhaltigkeitsstrategie für 1&amp;1</t>
  </si>
  <si>
    <t>Kundenwertigkeit</t>
  </si>
  <si>
    <t>Anstieg Service-Umsatz 25%, EBITDA 25%, Nettovertragszuwachs 10%, Kundenwertigkeit 20%, Nachhaltigkeitsstrategie für 1&amp;1 10%, Erarbeitung HR Strategie 10%.</t>
  </si>
  <si>
    <t>Als Vergütungsbestandteil mit langfristiger Anreizwirkung existiert bei United Internet ein auf virtuellen Aktienoptionen basierendes Beteiligungsprogramm (Stock Appreciation Rights, „SAR“-Programm). Ein SAR entspricht dabei einem virtuellen Bezugsrecht auf eine Aktie der Gesellschaft, d. h. stellt keine (echte) Option auf Erwerb von Aktien an der Gesellschaft dar. Die Gesellschaft behält sich jedoch das Recht vor, ihrer Verpflichtung zur Auszahlung der SARs in bar statt dessen nach freiem Ermessen auch durch die Übertragung von Aktien aus dem Bestand eigener Aktien zum Ausübungspreis an den Teilnehmer zu erfüllen. Die Ausübungshürde des Programms liegt bei 120% des Ausübungspreises. Die Zahlung des Wertzuwachses ist auf 100% des ermittelten Börsenpreises bei der Einräumung der virtuellen Optionen begrenzt (Obergrenze / Cap).</t>
  </si>
  <si>
    <t>Unternehmens- und Kulturentwicklung (z. B. Identifikation mit den Unternehmenswerten, Mitarbeiterzufriedenheit, Steigerung von Markenpräsenz, Diversität und Inklusion)</t>
  </si>
  <si>
    <t>EBIT-Marge 40%, FCF 40%, ROCE 20%. Personal Contribution Faktor mit ZE 100% in 2023, der teilweise ESG Ziele enthält.</t>
  </si>
  <si>
    <t>Abfallverwertung</t>
  </si>
  <si>
    <t>Anteil von Frauen in leitenden Funktionen; Unfallrate</t>
  </si>
  <si>
    <t>Anteil von Frauen in leitenden Funktionen</t>
  </si>
  <si>
    <t>LTI basiert auf relativem TSR vgl. SXAGR und Sustainabilty Score (nur ESG Ziele).</t>
  </si>
  <si>
    <t>Keine ESG Ziele. Für das Berichtsjahr 2023 galten die folgenden Leistungskriterien: Ziel ROCE, Plan BVC, Ziel EBITDA-Marge sowie Plan operativer NCF.</t>
  </si>
  <si>
    <t>Relevante Vorfälle</t>
  </si>
  <si>
    <t>ROCE 25%, BVC 25%, EBITDA Marge 20%, op. NCF 20%, ESG 10%. 3j periode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</si>
</sst>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6" x14ac:knownFonts="1">
    <font>
      <sz val="11"/>
      <color theme="1"/>
      <name val="Aptos Narrow"/>
      <family val="2"/>
      <scheme val="minor"/>
    </font>
    <font>
      <sz val="11"/>
      <color theme="1"/>
      <name val="Aptos Narrow"/>
      <family val="2"/>
      <scheme val="minor"/>
    </font>
    <font>
      <b/>
      <sz val="11"/>
      <color theme="1"/>
      <name val="Aptos Narrow"/>
      <family val="2"/>
      <scheme val="minor"/>
    </font>
    <font>
      <b/>
      <sz val="9"/>
      <color indexed="81"/>
      <name val="Segoe UI"/>
    </font>
    <font>
      <sz val="9"/>
      <color indexed="81"/>
      <name val="Segoe UI"/>
    </font>
    <font>
      <i/>
      <sz val="11"/>
      <color theme="1"/>
      <name val="Aptos Narrow"/>
      <family val="2"/>
      <scheme val="minor"/>
    </font>
    <font>
      <i/>
      <sz val="9"/>
      <color theme="1"/>
      <name val="Aptos Narrow"/>
      <family val="2"/>
      <scheme val="minor"/>
    </font>
    <font>
      <sz val="11"/>
      <color theme="1"/>
      <name val="Calibri"/>
      <family val="2"/>
    </font>
    <font>
      <b/>
      <sz val="11"/>
      <color theme="1"/>
      <name val="Calibri"/>
      <family val="2"/>
    </font>
    <font>
      <sz val="9"/>
      <color indexed="81"/>
      <name val="Tahoma"/>
      <family val="2"/>
    </font>
    <font>
      <b/>
      <sz val="9"/>
      <color indexed="81"/>
      <name val="Segoe UI"/>
      <family val="2"/>
    </font>
    <font>
      <sz val="9"/>
      <color indexed="81"/>
      <name val="Segoe UI"/>
      <family val="2"/>
    </font>
    <font>
      <b/>
      <sz val="9"/>
      <color indexed="81"/>
      <name val="Segoe UI"/>
      <charset val="1"/>
    </font>
    <font>
      <sz val="9"/>
      <color indexed="81"/>
      <name val="Segoe UI"/>
      <charset val="1"/>
    </font>
    <font>
      <sz val="9"/>
      <color indexed="81"/>
      <name val="Tahoma"/>
    </font>
    <font>
      <sz val="11"/>
      <color rgb="FF000000"/>
      <name val="Aptos Narrow"/>
      <family val="2"/>
    </font>
  </fonts>
  <fills count="16">
    <fill>
      <patternFill patternType="none"/>
    </fill>
    <fill>
      <patternFill patternType="gray125"/>
    </fill>
    <fill>
      <patternFill patternType="solid">
        <fgColor rgb="FFD0CECE"/>
        <bgColor rgb="FFD0CECE"/>
      </patternFill>
    </fill>
    <fill>
      <patternFill patternType="solid">
        <fgColor theme="3" tint="0.59999389629810485"/>
        <bgColor rgb="FFE2EFD9"/>
      </patternFill>
    </fill>
    <fill>
      <patternFill patternType="solid">
        <fgColor rgb="FFE2EFD9"/>
        <bgColor rgb="FFE2EFD9"/>
      </patternFill>
    </fill>
    <fill>
      <patternFill patternType="solid">
        <fgColor rgb="FFFEF2CB"/>
        <bgColor rgb="FFFEF2CB"/>
      </patternFill>
    </fill>
    <fill>
      <patternFill patternType="solid">
        <fgColor rgb="FFFBE4D5"/>
        <bgColor rgb="FFFBE4D5"/>
      </patternFill>
    </fill>
    <fill>
      <patternFill patternType="solid">
        <fgColor theme="8" tint="0.79998168889431442"/>
        <bgColor rgb="FFE2EFD9"/>
      </patternFill>
    </fill>
    <fill>
      <patternFill patternType="solid">
        <fgColor theme="4" tint="0.79998168889431442"/>
        <bgColor rgb="FFE2EFD9"/>
      </patternFill>
    </fill>
    <fill>
      <patternFill patternType="solid">
        <fgColor theme="5" tint="0.79998168889431442"/>
        <bgColor rgb="FFFBE4D5"/>
      </patternFill>
    </fill>
    <fill>
      <patternFill patternType="solid">
        <fgColor theme="5" tint="0.79998168889431442"/>
        <bgColor rgb="FFE2EFD9"/>
      </patternFill>
    </fill>
    <fill>
      <patternFill patternType="solid">
        <fgColor theme="7" tint="0.59999389629810485"/>
        <bgColor indexed="64"/>
      </patternFill>
    </fill>
    <fill>
      <patternFill patternType="solid">
        <fgColor theme="0"/>
        <bgColor indexed="64"/>
      </patternFill>
    </fill>
    <fill>
      <patternFill patternType="solid">
        <fgColor rgb="FFD9D9D9"/>
        <bgColor indexed="64"/>
      </patternFill>
    </fill>
    <fill>
      <patternFill patternType="solid">
        <fgColor theme="2"/>
        <bgColor indexed="64"/>
      </patternFill>
    </fill>
    <fill>
      <patternFill patternType="solid">
        <fgColor rgb="FFD9D9D9"/>
        <bgColor rgb="FFD9D9D9"/>
      </patternFill>
    </fill>
  </fills>
  <borders count="1">
    <border>
      <left/>
      <right/>
      <top/>
      <bottom/>
      <diagonal/>
    </border>
  </borders>
  <cellStyleXfs count="4">
    <xf numFmtId="0" fontId="0" fillId="0" borderId="0"/>
    <xf numFmtId="9" fontId="1" fillId="0" borderId="0" applyFont="0" applyFill="0" applyBorder="0" applyAlignment="0" applyProtection="0"/>
    <xf numFmtId="0" fontId="1" fillId="0" borderId="0"/>
    <xf numFmtId="0" fontId="1" fillId="0" borderId="0"/>
  </cellStyleXfs>
  <cellXfs count="30">
    <xf numFmtId="0" fontId="0" fillId="0" borderId="0" xfId="0"/>
    <xf numFmtId="0" fontId="5" fillId="0" borderId="0" xfId="0" applyFont="1"/>
    <xf numFmtId="0" fontId="6" fillId="0" borderId="0" xfId="2" applyFont="1"/>
    <xf numFmtId="0" fontId="7" fillId="2" borderId="0" xfId="3" applyFont="1" applyFill="1" applyAlignment="1">
      <alignment vertical="top"/>
    </xf>
    <xf numFmtId="0" fontId="7" fillId="3" borderId="0" xfId="3" applyFont="1" applyFill="1" applyAlignment="1">
      <alignment vertical="top"/>
    </xf>
    <xf numFmtId="0" fontId="7" fillId="4" borderId="0" xfId="3" applyFont="1" applyFill="1" applyAlignment="1">
      <alignment vertical="top"/>
    </xf>
    <xf numFmtId="0" fontId="7" fillId="5" borderId="0" xfId="3" applyFont="1" applyFill="1" applyAlignment="1">
      <alignment vertical="top"/>
    </xf>
    <xf numFmtId="0" fontId="7" fillId="6" borderId="0" xfId="3" applyFont="1" applyFill="1" applyAlignment="1">
      <alignment vertical="top"/>
    </xf>
    <xf numFmtId="0" fontId="7" fillId="7" borderId="0" xfId="3" applyFont="1" applyFill="1" applyAlignment="1">
      <alignment vertical="top"/>
    </xf>
    <xf numFmtId="0" fontId="7" fillId="8" borderId="0" xfId="3" applyFont="1" applyFill="1" applyAlignment="1">
      <alignment vertical="top"/>
    </xf>
    <xf numFmtId="0" fontId="7" fillId="9" borderId="0" xfId="3" applyFont="1" applyFill="1" applyAlignment="1">
      <alignment vertical="top"/>
    </xf>
    <xf numFmtId="0" fontId="8" fillId="10" borderId="0" xfId="3" applyFont="1" applyFill="1" applyAlignment="1">
      <alignment vertical="top"/>
    </xf>
    <xf numFmtId="0" fontId="7" fillId="10" borderId="0" xfId="3" applyFont="1" applyFill="1" applyAlignment="1">
      <alignment vertical="top"/>
    </xf>
    <xf numFmtId="0" fontId="0" fillId="0" borderId="0" xfId="0" applyAlignment="1">
      <alignment vertical="top"/>
    </xf>
    <xf numFmtId="0" fontId="0" fillId="0" borderId="0" xfId="0" applyAlignment="1">
      <alignment horizontal="right" vertical="top"/>
    </xf>
    <xf numFmtId="0" fontId="0" fillId="0" borderId="0" xfId="0" applyAlignment="1">
      <alignment horizontal="right"/>
    </xf>
    <xf numFmtId="0" fontId="0" fillId="0" borderId="0" xfId="0" applyAlignment="1">
      <alignment vertical="top" wrapText="1"/>
    </xf>
    <xf numFmtId="0" fontId="7" fillId="0" borderId="0" xfId="0" applyFont="1"/>
    <xf numFmtId="0" fontId="0" fillId="12" borderId="0" xfId="0" applyFill="1" applyAlignment="1">
      <alignment vertical="top"/>
    </xf>
    <xf numFmtId="0" fontId="7" fillId="0" borderId="0" xfId="0" applyFont="1" applyAlignment="1">
      <alignment vertical="top"/>
    </xf>
    <xf numFmtId="0" fontId="0" fillId="13" borderId="0" xfId="0" applyFill="1" applyAlignment="1">
      <alignment vertical="top"/>
    </xf>
    <xf numFmtId="0" fontId="0" fillId="14" borderId="0" xfId="0" applyFill="1" applyAlignment="1">
      <alignment vertical="top"/>
    </xf>
    <xf numFmtId="0" fontId="0" fillId="14" borderId="0" xfId="0" applyFill="1"/>
    <xf numFmtId="9" fontId="0" fillId="0" borderId="0" xfId="0" applyNumberFormat="1" applyAlignment="1">
      <alignment vertical="top"/>
    </xf>
    <xf numFmtId="2" fontId="0" fillId="0" borderId="0" xfId="1" applyNumberFormat="1" applyFont="1" applyAlignment="1">
      <alignment vertical="top"/>
    </xf>
    <xf numFmtId="0" fontId="0" fillId="12" borderId="0" xfId="0" applyFill="1" applyAlignment="1">
      <alignment horizontal="right" vertical="top"/>
    </xf>
    <xf numFmtId="164" fontId="0" fillId="0" borderId="0" xfId="0" applyNumberFormat="1" applyAlignment="1">
      <alignment horizontal="right" vertical="top"/>
    </xf>
    <xf numFmtId="0" fontId="0" fillId="11" borderId="0" xfId="0" applyFill="1" applyAlignment="1">
      <alignment vertical="top"/>
    </xf>
    <xf numFmtId="0" fontId="15" fillId="15" borderId="0" xfId="0" applyFont="1" applyFill="1"/>
    <xf numFmtId="0" fontId="15" fillId="0" borderId="0" xfId="0" applyFont="1"/>
  </cellXfs>
  <cellStyles count="4">
    <cellStyle name="Normal 2" xfId="2" xr:uid="{4269FAFB-C949-48A6-AFAA-68EE92005227}"/>
    <cellStyle name="Prozent" xfId="1" builtinId="5"/>
    <cellStyle name="Standard" xfId="0" builtinId="0"/>
    <cellStyle name="Standard 2 2" xfId="3" xr:uid="{06BFCCA6-60BE-4A39-B98E-A5C13709EDC0}"/>
  </cellStyles>
  <dxfs count="54">
    <dxf>
      <alignment horizontal="general" vertical="top" textRotation="0" wrapText="0" indent="0" justifyLastLine="0" shrinkToFit="0" readingOrder="0"/>
    </dxf>
    <dxf>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i val="0"/>
      </font>
      <alignment horizontal="general" vertical="top" textRotation="0" wrapText="0" indent="0" justifyLastLine="0" shrinkToFit="0" readingOrder="0"/>
    </dxf>
    <dxf>
      <alignment horizontal="general" vertical="top" textRotation="0" wrapText="0" indent="0" justifyLastLine="0" shrinkToFit="0" readingOrder="0"/>
    </dxf>
    <dxf>
      <font>
        <i val="0"/>
      </font>
      <alignment horizontal="right"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rgb="FFE2EFD9"/>
          <bgColor theme="2" tint="-9.9978637043366805E-2"/>
        </patternFill>
      </fill>
      <alignment horizontal="general" vertical="top" textRotation="0" wrapText="0" indent="0" justifyLastLine="0" shrinkToFit="0" readingOrder="0"/>
    </dxf>
  </dxfs>
  <tableStyles count="1" defaultTableStyle="TableStyleMedium2" defaultPivotStyle="PivotStyleLight16">
    <tableStyle name="Invisible" pivot="0" table="0" count="0" xr9:uid="{DD772D47-8774-4810-8ABA-573E7156F0C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34058C-9494-407D-A702-ED36A18FCBCE}" name="Table375" displayName="Table375" ref="A3:AZ93" totalsRowShown="0" headerRowDxfId="53" dataDxfId="52" headerRowCellStyle="Standard 2 2">
  <autoFilter ref="A3:AZ93" xr:uid="{C5BD9ED3-D0E0-4E45-B8ED-0EB93518A6A1}">
    <filterColumn colId="1">
      <filters>
        <filter val="DAX"/>
      </filters>
    </filterColumn>
  </autoFilter>
  <sortState xmlns:xlrd2="http://schemas.microsoft.com/office/spreadsheetml/2017/richdata2" ref="A4:AZ43">
    <sortCondition ref="A4:A43"/>
  </sortState>
  <tableColumns count="52">
    <tableColumn id="1" xr3:uid="{A8D13DAB-1F00-4FBC-9B15-5719F8BEC24E}" name="cnameshort" dataDxfId="51"/>
    <tableColumn id="2" xr3:uid="{78AA583F-C22A-469D-94E2-958604C6EC01}" name="cindex" dataDxfId="50"/>
    <tableColumn id="3" xr3:uid="{924655A9-8E9E-4885-BFB6-81721B7A5344}" name="year" dataDxfId="49"/>
    <tableColumn id="6" xr3:uid="{AD0DF9CC-63A2-4334-B7BB-C8B91451ED07}" name="STI_share_of_total_compensation " dataDxfId="48"/>
    <tableColumn id="39" xr3:uid="{45DBBDA5-7C67-4523-A02C-B82DC4848BC3}" name="STI_count_of_total_ESG_KPI" dataDxfId="47"/>
    <tableColumn id="12" xr3:uid="{387EEC33-702F-4787-ABA8-C6F3E9D3FCDD}" name="STI_ESG_KPI_as_multiplier_or_KPI" dataDxfId="46"/>
    <tableColumn id="29" xr3:uid="{10EE8606-63A5-4709-8CD7-42FA3CAC9B5C}" name="STI_total_ESG_Share" dataDxfId="45"/>
    <tableColumn id="49" xr3:uid="{42C933B7-889E-4D19-9B20-A266585729FB}" name="STI_ESG_CEO_criteria_differ_from_restofBoard" dataDxfId="44"/>
    <tableColumn id="47" xr3:uid="{C79E26FD-6746-4E8A-AAD6-DE094F51EC5A}" name="STI_Zielerreichung" dataDxfId="43"/>
    <tableColumn id="4" xr3:uid="{1CDD86AC-C146-44A3-9411-9644F342D91C}" name="STI_E_KPI" dataDxfId="42"/>
    <tableColumn id="5" xr3:uid="{DF4140F7-490F-4442-B993-078E3A5FD7F1}" name="STI_E_KPI_Emission reduction" dataDxfId="41"/>
    <tableColumn id="31" xr3:uid="{D82ADBF6-3492-4BAF-9009-68319FF0163F}" name="STI_E_KPI_Emission reduction_Share" dataDxfId="40"/>
    <tableColumn id="28" xr3:uid="{02E41FD9-8AEA-4ECB-BD58-6243B43F4C25}" name="STI_E_KPI_other" dataDxfId="39"/>
    <tableColumn id="32" xr3:uid="{E3CDDB9C-D826-4977-BA83-108B0DCE9115}" name="STI_E_KPI_other_Share" dataDxfId="38"/>
    <tableColumn id="7" xr3:uid="{0F2D2634-3BB0-419C-AAEC-C35BAB4B02A3}" name="STI_S_KPI" dataDxfId="37"/>
    <tableColumn id="8" xr3:uid="{42B67257-FCFC-40F4-AA3C-8980F9FCD8E7}" name="STI_S_KPI_employee satisfaction" dataDxfId="36"/>
    <tableColumn id="35" xr3:uid="{0E255047-9AB7-48E8-9F28-9B6C57968C9F}" name="STI_S_KPI_employee satisfaction_Share" dataDxfId="35"/>
    <tableColumn id="34" xr3:uid="{DD0B467B-B438-49EB-87E8-05D8759F57EA}" name="STI_S_KPI_other" dataDxfId="34"/>
    <tableColumn id="33" xr3:uid="{CDF26E92-8CFB-411D-890C-08A56D8B7CC3}" name="STI_S_KPI_other_Share" dataDxfId="33"/>
    <tableColumn id="10" xr3:uid="{102F0040-B4AE-4200-8A6F-672ED23907DD}" name="STI_G_KPI" dataDxfId="32"/>
    <tableColumn id="11" xr3:uid="{60E1BE93-6359-42C3-BB07-A246A58ED32D}" name="STI_G_KPI_compliance" dataDxfId="31"/>
    <tableColumn id="38" xr3:uid="{1B358C3E-E8F5-442E-ADC9-50FBD588828F}" name="STI_G_KPI_compliance_Share" dataDxfId="30"/>
    <tableColumn id="37" xr3:uid="{81CFB72A-3DEE-4CAC-8E52-640E7D86F802}" name="STI_G_KPI_other" dataDxfId="29"/>
    <tableColumn id="36" xr3:uid="{C10A6749-4703-4B93-AECD-985C010BE4B3}" name="STI_G_KPI_other_Share" dataDxfId="28"/>
    <tableColumn id="14" xr3:uid="{D0A39ED8-613D-489E-B604-980A537B528F}" name="STI_cap (%)" dataDxfId="27"/>
    <tableColumn id="15" xr3:uid="{1DEEB8D0-530C-4EA1-A48D-EBD04C1AC99B}" name="ESG_in_STI_comment" dataDxfId="26"/>
    <tableColumn id="19" xr3:uid="{69BB4C4A-E7D6-45A3-BD43-C449AB443CBA}" name="MTI_share_of_total_compensation" dataDxfId="25"/>
    <tableColumn id="51" xr3:uid="{F794C9A3-EECD-4374-81AB-74C777B4FC83}" name="MTI_count_of_total_ESG_criteria" dataDxfId="24"/>
    <tableColumn id="52" xr3:uid="{EA856775-3ED9-41F8-A4DE-C13768172421}" name="MTI_ESG_KPI_as_multiplier_or_KPI" dataDxfId="23"/>
    <tableColumn id="9" xr3:uid="{131650E6-3D61-4954-B296-C56DC2EA2D11}" name="LTI_share_of_total_compensation" dataDxfId="22"/>
    <tableColumn id="41" xr3:uid="{6CBB2D62-9B3A-4864-A292-6E50894908B1}" name="LTI_count_of_total_ESG KPI" dataDxfId="21"/>
    <tableColumn id="13" xr3:uid="{A64CA6C0-054B-4FF7-89FD-0E9EE62D5EE2}" name="LTI_ESG_KPI_as_multiplier_or_KPI" dataDxfId="20"/>
    <tableColumn id="48" xr3:uid="{93A9C17B-5C22-4532-AA9C-7AA5248B5AB3}" name="LTI_total_ESG_Share" dataDxfId="19"/>
    <tableColumn id="50" xr3:uid="{FD3570C1-677F-4CE3-A908-87D01CE7BC69}" name="LTI_ESG_CEO_criteria_differ_from_restofBoard" dataDxfId="18"/>
    <tableColumn id="40" xr3:uid="{5605D086-1225-4587-8C59-B318EB8DABEF}" name="LTI_Zielerreichung" dataDxfId="17"/>
    <tableColumn id="16" xr3:uid="{30D843A9-EDD4-4D19-A4E8-5811A5E50695}" name="LTI_E_KPI" dataDxfId="16"/>
    <tableColumn id="30" xr3:uid="{D782DD11-3B91-4B4E-8DAC-9313BBF01C4D}" name="LTI_E_KPI_Emission reduction" dataDxfId="15"/>
    <tableColumn id="17" xr3:uid="{F16E2737-12B5-40F5-8824-7DCF262C5049}" name="LTI_E_KPI_Emission reduction_Share" dataDxfId="14"/>
    <tableColumn id="27" xr3:uid="{E5476F6F-7A6D-4A3E-B851-BC9BB4A5C05F}" name="LTI_E_KPI_other" dataDxfId="13"/>
    <tableColumn id="26" xr3:uid="{1367A790-6F04-4812-B0C1-6A4CC46B21B7}" name="LTI_E_KPI_other_Share" dataDxfId="12"/>
    <tableColumn id="25" xr3:uid="{BF012D02-AB57-43C8-A57B-59E8334CA460}" name="LTI_S_KPI" dataDxfId="11"/>
    <tableColumn id="24" xr3:uid="{F3819D17-EFE4-49CF-A437-AC6FAB9BC1DF}" name="LTI_S_KPI_employee satisfaction" dataDxfId="10"/>
    <tableColumn id="23" xr3:uid="{AAD95311-3E05-4704-88CF-8A03D61B2F96}" name="LTI_S_KPI_employee satisfaction_Share" dataDxfId="9"/>
    <tableColumn id="22" xr3:uid="{6AA55DF2-21FB-4949-A58E-8CF012C80812}" name="LTI_S_KPI_other" dataDxfId="8"/>
    <tableColumn id="21" xr3:uid="{9D833FCC-3675-4CB1-95A1-1232B4866905}" name="LTI_S_KPI_other_Share" dataDxfId="7"/>
    <tableColumn id="20" xr3:uid="{F0768DEF-2EE4-408A-A084-086CEE91E8E7}" name="LTI_G_KPI" dataDxfId="6"/>
    <tableColumn id="18" xr3:uid="{452654DE-328D-4127-B273-AB66DE590BBC}" name="LTI_G_KPI_compliance" dataDxfId="5"/>
    <tableColumn id="42" xr3:uid="{1AA827C9-593A-43E0-9575-CB0986C6E8FF}" name="LTI_G_KPI_compliance_Share" dataDxfId="4"/>
    <tableColumn id="43" xr3:uid="{D439E026-DB78-4826-99FE-39AD4E4DE6D2}" name="LTI_G_KPI_other" dataDxfId="3"/>
    <tableColumn id="44" xr3:uid="{6E3DCB1F-4C38-4661-9E08-7D85A892A62B}" name="LTI_G_KPI_other_Share" dataDxfId="2">
      <calculatedColumnFormula>33*0.25</calculatedColumnFormula>
    </tableColumn>
    <tableColumn id="45" xr3:uid="{C1FD720E-9C80-44CD-B2B5-36288F2039CD}" name="LTI_cap (%)" dataDxfId="1"/>
    <tableColumn id="46" xr3:uid="{620B12EE-EDFB-4189-9156-2C2B6BC92417}" name="ESG_in_LTI_comment"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DD9E9-741F-47A7-89AA-D4CDBBE33AA9}">
  <sheetPr>
    <tabColor theme="4"/>
  </sheetPr>
  <dimension ref="A1:AZ93"/>
  <sheetViews>
    <sheetView showGridLines="0" tabSelected="1" zoomScale="80" zoomScaleNormal="80" workbookViewId="0">
      <pane xSplit="3" ySplit="3" topLeftCell="D4" activePane="bottomRight" state="frozen"/>
      <selection pane="topRight" activeCell="D1" sqref="D1"/>
      <selection pane="bottomLeft" activeCell="A4" sqref="A4"/>
      <selection pane="bottomRight" activeCell="C102" sqref="C102"/>
    </sheetView>
  </sheetViews>
  <sheetFormatPr baseColWidth="10" defaultColWidth="8.90625" defaultRowHeight="14.5" x14ac:dyDescent="0.35"/>
  <cols>
    <col min="1" max="1" width="23.36328125" style="13" customWidth="1"/>
    <col min="2" max="2" width="8.6328125" style="13" bestFit="1" customWidth="1"/>
    <col min="3" max="3" width="23.36328125" style="13" customWidth="1"/>
    <col min="4" max="4" width="54.08984375" style="13" bestFit="1" customWidth="1"/>
    <col min="5" max="5" width="29.453125" style="13" customWidth="1"/>
    <col min="6" max="6" width="35" style="13" customWidth="1"/>
    <col min="7" max="7" width="34.453125" style="13" customWidth="1"/>
    <col min="8" max="8" width="45.6328125" style="13" customWidth="1"/>
    <col min="9" max="9" width="29" style="13" customWidth="1"/>
    <col min="10" max="10" width="23.36328125" style="13" customWidth="1"/>
    <col min="11" max="11" width="30.453125" style="13" bestFit="1" customWidth="1"/>
    <col min="12" max="12" width="36.36328125" style="13" bestFit="1" customWidth="1"/>
    <col min="13" max="15" width="23.36328125" style="13" customWidth="1"/>
    <col min="16" max="16" width="33.36328125" style="13" bestFit="1" customWidth="1"/>
    <col min="17" max="17" width="39.453125" style="13" bestFit="1" customWidth="1"/>
    <col min="18" max="20" width="23.36328125" style="13" customWidth="1"/>
    <col min="21" max="21" width="37.6328125" style="13" customWidth="1"/>
    <col min="22" max="22" width="23.36328125" style="13" customWidth="1"/>
    <col min="23" max="23" width="32.90625" style="13" customWidth="1"/>
    <col min="24" max="24" width="25.08984375" style="13" customWidth="1"/>
    <col min="25" max="26" width="23.36328125" style="13" customWidth="1"/>
    <col min="27" max="27" width="34.6328125" style="13" bestFit="1" customWidth="1"/>
    <col min="28" max="30" width="23.36328125" style="13" customWidth="1"/>
    <col min="31" max="31" width="28.90625" style="13" bestFit="1" customWidth="1"/>
    <col min="32" max="33" width="23.36328125" style="13" customWidth="1"/>
    <col min="34" max="34" width="46.54296875" style="13" customWidth="1"/>
    <col min="35" max="35" width="23.36328125" customWidth="1"/>
    <col min="36" max="43" width="23.36328125" style="13" customWidth="1"/>
    <col min="44" max="44" width="28.90625" style="13" customWidth="1"/>
    <col min="45" max="45" width="23.54296875" style="13" customWidth="1"/>
    <col min="46" max="46" width="17.54296875" style="13" customWidth="1"/>
    <col min="47" max="47" width="21.90625" style="13" customWidth="1"/>
    <col min="48" max="48" width="40.36328125" style="13" customWidth="1"/>
    <col min="49" max="49" width="19.54296875" style="13" customWidth="1"/>
    <col min="50" max="50" width="29.08984375" style="13" customWidth="1"/>
    <col min="51" max="51" width="20.6328125" style="13" customWidth="1"/>
    <col min="52" max="52" width="69.6328125" style="13" customWidth="1"/>
  </cols>
  <sheetData>
    <row r="1" spans="1:52" x14ac:dyDescent="0.35">
      <c r="A1"/>
      <c r="B1" s="1"/>
      <c r="C1"/>
      <c r="D1"/>
      <c r="E1"/>
      <c r="F1"/>
      <c r="G1"/>
      <c r="H1"/>
      <c r="I1"/>
      <c r="J1"/>
      <c r="K1"/>
      <c r="L1"/>
      <c r="M1"/>
      <c r="N1"/>
      <c r="O1"/>
      <c r="P1"/>
      <c r="Q1"/>
      <c r="R1"/>
      <c r="S1"/>
      <c r="T1"/>
      <c r="U1"/>
      <c r="V1"/>
      <c r="W1"/>
      <c r="X1"/>
      <c r="Y1"/>
      <c r="Z1"/>
      <c r="AA1"/>
      <c r="AB1"/>
      <c r="AC1"/>
      <c r="AD1"/>
      <c r="AE1"/>
      <c r="AF1"/>
      <c r="AG1"/>
      <c r="AH1"/>
      <c r="AJ1"/>
      <c r="AK1"/>
      <c r="AL1"/>
      <c r="AM1"/>
      <c r="AN1"/>
      <c r="AO1"/>
      <c r="AP1"/>
      <c r="AQ1"/>
      <c r="AR1"/>
      <c r="AS1"/>
      <c r="AT1"/>
      <c r="AU1"/>
      <c r="AV1"/>
      <c r="AW1"/>
      <c r="AX1"/>
      <c r="AY1"/>
      <c r="AZ1"/>
    </row>
    <row r="2" spans="1:52" s="2" customFormat="1" ht="12" x14ac:dyDescent="0.3">
      <c r="D2" s="2" t="s">
        <v>92</v>
      </c>
      <c r="E2" s="2" t="s">
        <v>93</v>
      </c>
      <c r="F2" s="2" t="s">
        <v>94</v>
      </c>
      <c r="G2" s="2" t="s">
        <v>92</v>
      </c>
      <c r="H2" s="2" t="s">
        <v>95</v>
      </c>
      <c r="I2" s="2" t="s">
        <v>92</v>
      </c>
      <c r="J2" s="2" t="s">
        <v>95</v>
      </c>
      <c r="K2" s="2" t="s">
        <v>95</v>
      </c>
      <c r="L2" s="2" t="s">
        <v>92</v>
      </c>
      <c r="M2" s="2" t="s">
        <v>96</v>
      </c>
      <c r="N2" s="2" t="s">
        <v>92</v>
      </c>
      <c r="O2" s="2" t="s">
        <v>95</v>
      </c>
      <c r="P2" s="2" t="s">
        <v>95</v>
      </c>
      <c r="Q2" s="2" t="s">
        <v>92</v>
      </c>
      <c r="R2" s="2" t="s">
        <v>96</v>
      </c>
      <c r="S2" s="2" t="s">
        <v>92</v>
      </c>
      <c r="T2" s="2" t="s">
        <v>95</v>
      </c>
      <c r="U2" s="2" t="s">
        <v>95</v>
      </c>
      <c r="V2" s="2" t="s">
        <v>92</v>
      </c>
      <c r="W2" s="2" t="s">
        <v>96</v>
      </c>
      <c r="X2" s="2" t="s">
        <v>92</v>
      </c>
      <c r="Y2" s="2" t="s">
        <v>92</v>
      </c>
      <c r="Z2" s="2" t="s">
        <v>97</v>
      </c>
      <c r="AA2" s="2" t="s">
        <v>92</v>
      </c>
      <c r="AB2" s="2" t="s">
        <v>98</v>
      </c>
      <c r="AC2" s="2" t="s">
        <v>94</v>
      </c>
      <c r="AD2" s="2" t="s">
        <v>92</v>
      </c>
      <c r="AE2" s="2" t="s">
        <v>98</v>
      </c>
      <c r="AF2" s="2" t="s">
        <v>94</v>
      </c>
      <c r="AG2" s="2" t="s">
        <v>92</v>
      </c>
      <c r="AH2" s="2" t="s">
        <v>95</v>
      </c>
      <c r="AI2" s="2" t="s">
        <v>92</v>
      </c>
      <c r="AJ2" s="2" t="s">
        <v>95</v>
      </c>
      <c r="AK2" s="2" t="s">
        <v>95</v>
      </c>
      <c r="AL2" s="2" t="s">
        <v>92</v>
      </c>
      <c r="AM2" s="2" t="s">
        <v>96</v>
      </c>
      <c r="AN2" s="2" t="s">
        <v>92</v>
      </c>
      <c r="AO2" s="2" t="s">
        <v>95</v>
      </c>
      <c r="AP2" s="2" t="s">
        <v>95</v>
      </c>
      <c r="AQ2" s="2" t="s">
        <v>92</v>
      </c>
      <c r="AR2" s="2" t="s">
        <v>96</v>
      </c>
      <c r="AS2" s="2" t="s">
        <v>92</v>
      </c>
      <c r="AT2" s="2" t="s">
        <v>95</v>
      </c>
      <c r="AU2" s="2" t="s">
        <v>95</v>
      </c>
      <c r="AV2" s="2" t="s">
        <v>92</v>
      </c>
      <c r="AW2" s="2" t="s">
        <v>96</v>
      </c>
      <c r="AX2" s="2" t="s">
        <v>92</v>
      </c>
      <c r="AY2" s="2" t="s">
        <v>92</v>
      </c>
      <c r="AZ2" s="2" t="s">
        <v>97</v>
      </c>
    </row>
    <row r="3" spans="1:52" x14ac:dyDescent="0.35">
      <c r="A3" s="3" t="s">
        <v>99</v>
      </c>
      <c r="B3" s="3" t="s">
        <v>100</v>
      </c>
      <c r="C3" s="3" t="s">
        <v>101</v>
      </c>
      <c r="D3" s="4" t="s">
        <v>102</v>
      </c>
      <c r="E3" s="4" t="s">
        <v>103</v>
      </c>
      <c r="F3" s="4" t="s">
        <v>104</v>
      </c>
      <c r="G3" s="4" t="s">
        <v>105</v>
      </c>
      <c r="H3" s="4" t="s">
        <v>106</v>
      </c>
      <c r="I3" s="4" t="s">
        <v>107</v>
      </c>
      <c r="J3" s="5" t="s">
        <v>108</v>
      </c>
      <c r="K3" s="5" t="s">
        <v>109</v>
      </c>
      <c r="L3" s="5" t="s">
        <v>110</v>
      </c>
      <c r="M3" s="5" t="s">
        <v>111</v>
      </c>
      <c r="N3" s="5" t="s">
        <v>112</v>
      </c>
      <c r="O3" s="6" t="s">
        <v>113</v>
      </c>
      <c r="P3" s="6" t="s">
        <v>114</v>
      </c>
      <c r="Q3" s="6" t="s">
        <v>115</v>
      </c>
      <c r="R3" s="6" t="s">
        <v>116</v>
      </c>
      <c r="S3" s="6" t="s">
        <v>117</v>
      </c>
      <c r="T3" s="7" t="s">
        <v>118</v>
      </c>
      <c r="U3" s="7" t="s">
        <v>119</v>
      </c>
      <c r="V3" s="7" t="s">
        <v>120</v>
      </c>
      <c r="W3" s="7" t="s">
        <v>121</v>
      </c>
      <c r="X3" s="7" t="s">
        <v>122</v>
      </c>
      <c r="Y3" s="4" t="s">
        <v>123</v>
      </c>
      <c r="Z3" s="4" t="s">
        <v>124</v>
      </c>
      <c r="AA3" s="8" t="s">
        <v>125</v>
      </c>
      <c r="AB3" s="8" t="s">
        <v>126</v>
      </c>
      <c r="AC3" s="8" t="s">
        <v>127</v>
      </c>
      <c r="AD3" s="9" t="s">
        <v>128</v>
      </c>
      <c r="AE3" s="9" t="s">
        <v>129</v>
      </c>
      <c r="AF3" s="9" t="s">
        <v>130</v>
      </c>
      <c r="AG3" s="9" t="s">
        <v>131</v>
      </c>
      <c r="AH3" s="9" t="s">
        <v>132</v>
      </c>
      <c r="AI3" s="9" t="s">
        <v>133</v>
      </c>
      <c r="AJ3" s="5" t="s">
        <v>134</v>
      </c>
      <c r="AK3" s="5" t="s">
        <v>135</v>
      </c>
      <c r="AL3" s="5" t="s">
        <v>136</v>
      </c>
      <c r="AM3" s="5" t="s">
        <v>137</v>
      </c>
      <c r="AN3" s="5" t="s">
        <v>138</v>
      </c>
      <c r="AO3" s="6" t="s">
        <v>139</v>
      </c>
      <c r="AP3" s="6" t="s">
        <v>140</v>
      </c>
      <c r="AQ3" s="6" t="s">
        <v>141</v>
      </c>
      <c r="AR3" s="6" t="s">
        <v>142</v>
      </c>
      <c r="AS3" s="6" t="s">
        <v>143</v>
      </c>
      <c r="AT3" s="10" t="s">
        <v>144</v>
      </c>
      <c r="AU3" s="10" t="s">
        <v>145</v>
      </c>
      <c r="AV3" s="11" t="s">
        <v>146</v>
      </c>
      <c r="AW3" s="12" t="s">
        <v>147</v>
      </c>
      <c r="AX3" s="12" t="s">
        <v>148</v>
      </c>
      <c r="AY3" s="9" t="s">
        <v>149</v>
      </c>
      <c r="AZ3" s="9" t="s">
        <v>150</v>
      </c>
    </row>
    <row r="4" spans="1:52" x14ac:dyDescent="0.35">
      <c r="A4" s="17" t="s">
        <v>151</v>
      </c>
      <c r="B4" s="13" t="s">
        <v>0</v>
      </c>
      <c r="C4" s="13">
        <v>2023</v>
      </c>
      <c r="D4" s="14">
        <v>25</v>
      </c>
      <c r="E4" s="13">
        <v>4</v>
      </c>
      <c r="F4" s="13">
        <v>2</v>
      </c>
      <c r="G4" s="13">
        <v>20</v>
      </c>
      <c r="H4" s="13">
        <v>0</v>
      </c>
      <c r="I4" s="13">
        <v>109</v>
      </c>
      <c r="J4" s="13">
        <v>0</v>
      </c>
      <c r="K4" s="13">
        <v>0</v>
      </c>
      <c r="O4" s="13">
        <v>1</v>
      </c>
      <c r="P4" s="13">
        <v>1</v>
      </c>
      <c r="Q4" s="21">
        <f>20/4</f>
        <v>5</v>
      </c>
      <c r="T4" s="13">
        <v>1</v>
      </c>
      <c r="U4" s="13">
        <v>0</v>
      </c>
      <c r="V4" s="21">
        <v>0</v>
      </c>
      <c r="W4" s="13" t="s">
        <v>152</v>
      </c>
      <c r="X4" s="13" t="s">
        <v>153</v>
      </c>
      <c r="Y4" s="13">
        <v>150</v>
      </c>
      <c r="Z4" s="13" t="s">
        <v>154</v>
      </c>
      <c r="AB4" s="13">
        <v>0</v>
      </c>
      <c r="AD4" s="13">
        <v>45</v>
      </c>
      <c r="AE4" s="13">
        <v>1</v>
      </c>
      <c r="AF4" s="13">
        <v>2</v>
      </c>
      <c r="AG4" s="13">
        <v>20</v>
      </c>
      <c r="AH4" s="13">
        <v>0</v>
      </c>
      <c r="AI4" s="22">
        <v>102</v>
      </c>
      <c r="AJ4" s="13">
        <v>1</v>
      </c>
      <c r="AK4" s="13">
        <v>0</v>
      </c>
      <c r="AL4" s="13">
        <v>0</v>
      </c>
      <c r="AM4" s="13" t="s">
        <v>155</v>
      </c>
      <c r="AN4" s="13">
        <v>20</v>
      </c>
      <c r="AO4" s="13">
        <v>0</v>
      </c>
      <c r="AP4" s="13">
        <v>0</v>
      </c>
      <c r="AT4" s="13">
        <v>0</v>
      </c>
      <c r="AU4" s="13">
        <v>0</v>
      </c>
      <c r="AY4" s="13">
        <v>150</v>
      </c>
      <c r="AZ4" s="23" t="s">
        <v>156</v>
      </c>
    </row>
    <row r="5" spans="1:52" x14ac:dyDescent="0.35">
      <c r="A5" s="17" t="s">
        <v>1</v>
      </c>
      <c r="B5" s="13" t="s">
        <v>0</v>
      </c>
      <c r="C5" s="13">
        <v>2023</v>
      </c>
      <c r="D5" s="14">
        <v>33.33</v>
      </c>
      <c r="E5" s="13">
        <v>3</v>
      </c>
      <c r="F5" s="13">
        <v>2</v>
      </c>
      <c r="G5" s="18">
        <f>20*0.5+10*0.5</f>
        <v>15</v>
      </c>
      <c r="H5" s="13">
        <v>1</v>
      </c>
      <c r="I5" s="13">
        <f>(123+135)/2</f>
        <v>129</v>
      </c>
      <c r="J5" s="13">
        <v>1</v>
      </c>
      <c r="K5" s="13">
        <v>1</v>
      </c>
      <c r="L5" s="13">
        <f>10*0.5</f>
        <v>5</v>
      </c>
      <c r="O5" s="13">
        <v>1</v>
      </c>
      <c r="P5" s="13">
        <v>0</v>
      </c>
      <c r="R5" s="13" t="s">
        <v>157</v>
      </c>
      <c r="S5" s="13">
        <f>10*0.5</f>
        <v>5</v>
      </c>
      <c r="T5" s="13">
        <v>0</v>
      </c>
      <c r="U5" s="13">
        <v>0</v>
      </c>
      <c r="Y5" s="13">
        <v>200</v>
      </c>
      <c r="Z5" s="13" t="s">
        <v>158</v>
      </c>
      <c r="AB5" s="13">
        <v>0</v>
      </c>
      <c r="AD5" s="13">
        <v>33.33</v>
      </c>
      <c r="AE5" s="13">
        <v>0</v>
      </c>
      <c r="AG5" s="13">
        <v>0</v>
      </c>
      <c r="AH5" s="13">
        <v>0</v>
      </c>
      <c r="AI5">
        <v>150</v>
      </c>
      <c r="AJ5" s="13">
        <v>0</v>
      </c>
      <c r="AK5" s="13">
        <v>0</v>
      </c>
      <c r="AO5" s="13">
        <v>0</v>
      </c>
      <c r="AP5" s="13">
        <v>0</v>
      </c>
      <c r="AT5" s="13">
        <v>0</v>
      </c>
      <c r="AU5" s="13">
        <v>0</v>
      </c>
      <c r="AY5" s="13">
        <v>100</v>
      </c>
      <c r="AZ5" s="13" t="s">
        <v>159</v>
      </c>
    </row>
    <row r="6" spans="1:52" ht="21.75" customHeight="1" x14ac:dyDescent="0.35">
      <c r="A6" s="19" t="s">
        <v>2</v>
      </c>
      <c r="B6" s="13" t="s">
        <v>0</v>
      </c>
      <c r="C6" s="13">
        <v>2023</v>
      </c>
      <c r="D6" s="14">
        <v>25</v>
      </c>
      <c r="E6" s="13">
        <v>4</v>
      </c>
      <c r="F6" s="13">
        <v>1</v>
      </c>
      <c r="G6" s="24">
        <f>1/3*100</f>
        <v>33.333333333333329</v>
      </c>
      <c r="H6" s="13">
        <v>1</v>
      </c>
      <c r="I6" s="13">
        <v>121.5</v>
      </c>
      <c r="J6" s="13">
        <v>1</v>
      </c>
      <c r="K6" s="13">
        <v>1</v>
      </c>
      <c r="O6" s="13">
        <v>1</v>
      </c>
      <c r="P6" s="13">
        <v>1</v>
      </c>
      <c r="Q6" s="21"/>
      <c r="R6" s="13" t="s">
        <v>160</v>
      </c>
      <c r="T6" s="13">
        <v>1</v>
      </c>
      <c r="U6" s="13">
        <v>0</v>
      </c>
      <c r="W6" s="13" t="s">
        <v>161</v>
      </c>
      <c r="Y6" s="13">
        <v>150</v>
      </c>
      <c r="Z6" s="13" t="s">
        <v>162</v>
      </c>
      <c r="AB6" s="13">
        <v>0</v>
      </c>
      <c r="AD6" s="13">
        <v>45</v>
      </c>
      <c r="AE6" s="13">
        <v>5</v>
      </c>
      <c r="AF6" s="14" t="s">
        <v>163</v>
      </c>
      <c r="AG6" s="14" t="s">
        <v>164</v>
      </c>
      <c r="AH6" s="13">
        <v>1</v>
      </c>
      <c r="AI6">
        <v>121.5</v>
      </c>
      <c r="AJ6" s="13">
        <v>1</v>
      </c>
      <c r="AK6" s="13">
        <v>1</v>
      </c>
      <c r="AO6" s="13">
        <v>1</v>
      </c>
      <c r="AP6" s="13">
        <v>1</v>
      </c>
      <c r="AQ6" s="21"/>
      <c r="AR6" s="13" t="s">
        <v>160</v>
      </c>
      <c r="AT6" s="13">
        <v>1</v>
      </c>
      <c r="AU6" s="13">
        <v>1</v>
      </c>
      <c r="AW6" s="13" t="s">
        <v>161</v>
      </c>
      <c r="AY6" s="13">
        <v>150</v>
      </c>
      <c r="AZ6" s="13" t="s">
        <v>165</v>
      </c>
    </row>
    <row r="7" spans="1:52" x14ac:dyDescent="0.35">
      <c r="A7" s="19" t="s">
        <v>3</v>
      </c>
      <c r="B7" s="13" t="s">
        <v>0</v>
      </c>
      <c r="C7" s="13">
        <v>2023</v>
      </c>
      <c r="D7" s="14">
        <v>27</v>
      </c>
      <c r="E7" s="13">
        <v>2</v>
      </c>
      <c r="F7" s="13">
        <v>1</v>
      </c>
      <c r="G7" s="13">
        <f>2/8*100</f>
        <v>25</v>
      </c>
      <c r="H7" s="13">
        <v>0</v>
      </c>
      <c r="I7" s="13">
        <v>36.25</v>
      </c>
      <c r="J7" s="13">
        <v>1</v>
      </c>
      <c r="K7" s="13">
        <v>1</v>
      </c>
      <c r="O7" s="13">
        <v>1</v>
      </c>
      <c r="P7" s="13">
        <v>0</v>
      </c>
      <c r="R7" s="13" t="s">
        <v>166</v>
      </c>
      <c r="T7" s="13">
        <v>0</v>
      </c>
      <c r="U7" s="13">
        <v>0</v>
      </c>
      <c r="Y7" s="13">
        <v>200</v>
      </c>
      <c r="Z7" s="13" t="s">
        <v>167</v>
      </c>
      <c r="AB7" s="13">
        <v>0</v>
      </c>
      <c r="AD7" s="14">
        <v>38</v>
      </c>
      <c r="AE7" s="14">
        <v>1</v>
      </c>
      <c r="AF7" s="14">
        <v>1</v>
      </c>
      <c r="AG7" s="14">
        <f>100/3</f>
        <v>33.333333333333336</v>
      </c>
      <c r="AH7" s="14">
        <v>0</v>
      </c>
      <c r="AI7" s="15">
        <v>115.3</v>
      </c>
      <c r="AJ7" s="14">
        <v>1</v>
      </c>
      <c r="AK7" s="14">
        <v>1</v>
      </c>
      <c r="AL7" s="14"/>
      <c r="AO7" s="13">
        <v>0</v>
      </c>
      <c r="AP7" s="13">
        <v>0</v>
      </c>
      <c r="AT7" s="13">
        <v>0</v>
      </c>
      <c r="AU7" s="13">
        <v>0</v>
      </c>
      <c r="AY7" s="13">
        <v>200</v>
      </c>
      <c r="AZ7" s="13" t="s">
        <v>168</v>
      </c>
    </row>
    <row r="8" spans="1:52" ht="15.75" customHeight="1" x14ac:dyDescent="0.35">
      <c r="A8" s="19" t="s">
        <v>4</v>
      </c>
      <c r="B8" s="13" t="s">
        <v>0</v>
      </c>
      <c r="C8" s="13">
        <v>2023</v>
      </c>
      <c r="D8" s="14">
        <v>26</v>
      </c>
      <c r="E8" s="13">
        <v>4</v>
      </c>
      <c r="F8" s="13">
        <v>1</v>
      </c>
      <c r="G8" s="13">
        <f>4/13*100</f>
        <v>30.76923076923077</v>
      </c>
      <c r="H8" s="13">
        <v>1</v>
      </c>
      <c r="I8" s="13">
        <v>110</v>
      </c>
      <c r="J8" s="13">
        <v>1</v>
      </c>
      <c r="K8" s="13">
        <v>0</v>
      </c>
      <c r="M8" s="13" t="s">
        <v>169</v>
      </c>
      <c r="O8" s="13">
        <v>1</v>
      </c>
      <c r="P8" s="13">
        <v>1</v>
      </c>
      <c r="R8" s="16" t="s">
        <v>170</v>
      </c>
      <c r="T8" s="13">
        <v>0</v>
      </c>
      <c r="U8" s="13">
        <v>0</v>
      </c>
      <c r="Y8" s="13">
        <v>200</v>
      </c>
      <c r="Z8" s="13" t="s">
        <v>171</v>
      </c>
      <c r="AB8" s="13">
        <v>0</v>
      </c>
      <c r="AD8" s="14">
        <v>45</v>
      </c>
      <c r="AE8" s="14">
        <v>6</v>
      </c>
      <c r="AF8" s="14">
        <v>2</v>
      </c>
      <c r="AG8" s="14">
        <v>20</v>
      </c>
      <c r="AH8" s="14">
        <v>0</v>
      </c>
      <c r="AI8" s="15">
        <v>0</v>
      </c>
      <c r="AJ8" s="14">
        <v>1</v>
      </c>
      <c r="AK8" s="14">
        <v>1</v>
      </c>
      <c r="AL8" s="14" t="s">
        <v>172</v>
      </c>
      <c r="AM8" s="13" t="s">
        <v>173</v>
      </c>
      <c r="AN8" s="13">
        <f>(1/6)*20</f>
        <v>3.333333333333333</v>
      </c>
      <c r="AO8" s="13">
        <v>1</v>
      </c>
      <c r="AP8" s="13">
        <v>0</v>
      </c>
      <c r="AR8" s="16" t="s">
        <v>174</v>
      </c>
      <c r="AS8" s="16" t="s">
        <v>175</v>
      </c>
      <c r="AT8" s="13">
        <v>0</v>
      </c>
      <c r="AU8" s="13">
        <v>0</v>
      </c>
      <c r="AX8" s="14"/>
      <c r="AY8" s="13">
        <v>250</v>
      </c>
      <c r="AZ8" s="13" t="s">
        <v>176</v>
      </c>
    </row>
    <row r="9" spans="1:52" ht="26.25" customHeight="1" x14ac:dyDescent="0.35">
      <c r="A9" s="19" t="s">
        <v>5</v>
      </c>
      <c r="B9" s="13" t="s">
        <v>0</v>
      </c>
      <c r="C9" s="13">
        <v>2023</v>
      </c>
      <c r="D9" s="25">
        <f>(15+28)/2</f>
        <v>21.5</v>
      </c>
      <c r="E9" s="13">
        <v>1</v>
      </c>
      <c r="F9" s="13">
        <v>2</v>
      </c>
      <c r="G9" s="13">
        <v>7</v>
      </c>
      <c r="H9" s="13">
        <v>1</v>
      </c>
      <c r="I9" s="13">
        <v>150.69999999999999</v>
      </c>
      <c r="J9" s="13">
        <v>0</v>
      </c>
      <c r="K9" s="13">
        <v>0</v>
      </c>
      <c r="O9" s="13">
        <v>1</v>
      </c>
      <c r="P9" s="13">
        <v>1</v>
      </c>
      <c r="T9" s="13">
        <v>0</v>
      </c>
      <c r="U9" s="13">
        <v>0</v>
      </c>
      <c r="Y9" s="13">
        <v>200</v>
      </c>
      <c r="Z9" s="13" t="s">
        <v>177</v>
      </c>
      <c r="AB9" s="13">
        <v>0</v>
      </c>
      <c r="AD9" s="14">
        <f>(28+58)/2</f>
        <v>43</v>
      </c>
      <c r="AE9" s="14">
        <v>4</v>
      </c>
      <c r="AF9" s="14">
        <v>2</v>
      </c>
      <c r="AG9" s="14">
        <v>40</v>
      </c>
      <c r="AH9" s="14">
        <v>0</v>
      </c>
      <c r="AI9" s="15" t="s">
        <v>178</v>
      </c>
      <c r="AJ9" s="14">
        <v>1</v>
      </c>
      <c r="AK9" s="14">
        <v>1</v>
      </c>
      <c r="AL9" s="14">
        <f>20/2</f>
        <v>10</v>
      </c>
      <c r="AM9" s="13" t="s">
        <v>179</v>
      </c>
      <c r="AN9" s="13">
        <f>20/2</f>
        <v>10</v>
      </c>
      <c r="AO9" s="13">
        <v>1</v>
      </c>
      <c r="AP9" s="13">
        <v>0</v>
      </c>
      <c r="AR9" s="13" t="s">
        <v>180</v>
      </c>
      <c r="AS9" s="13">
        <f>20/2</f>
        <v>10</v>
      </c>
      <c r="AT9" s="13">
        <v>1</v>
      </c>
      <c r="AU9" s="13">
        <v>0</v>
      </c>
      <c r="AW9" s="13" t="s">
        <v>181</v>
      </c>
      <c r="AX9" s="14">
        <f>20/2</f>
        <v>10</v>
      </c>
      <c r="AY9" s="13">
        <v>200</v>
      </c>
      <c r="AZ9" s="13" t="s">
        <v>182</v>
      </c>
    </row>
    <row r="10" spans="1:52" ht="16.5" customHeight="1" x14ac:dyDescent="0.35">
      <c r="A10" s="19" t="s">
        <v>6</v>
      </c>
      <c r="B10" s="13" t="s">
        <v>0</v>
      </c>
      <c r="C10" s="13">
        <v>2023</v>
      </c>
      <c r="D10" s="14">
        <f>(27+30)/2</f>
        <v>28.5</v>
      </c>
      <c r="E10" s="13">
        <v>8</v>
      </c>
      <c r="F10" s="13">
        <v>1</v>
      </c>
      <c r="G10" s="13">
        <f>(50+10*3/8)*0.5</f>
        <v>26.875</v>
      </c>
      <c r="H10" s="13">
        <v>1</v>
      </c>
      <c r="I10" s="13">
        <v>103</v>
      </c>
      <c r="J10" s="13">
        <v>1</v>
      </c>
      <c r="K10" s="13">
        <v>0</v>
      </c>
      <c r="M10" s="13" t="s">
        <v>183</v>
      </c>
      <c r="O10" s="13">
        <v>1</v>
      </c>
      <c r="P10" s="13">
        <v>1</v>
      </c>
      <c r="Q10" s="13">
        <f>50*(1/5)*0.5</f>
        <v>5</v>
      </c>
      <c r="R10" s="13" t="s">
        <v>184</v>
      </c>
      <c r="T10" s="13">
        <v>1</v>
      </c>
      <c r="U10" s="13">
        <v>1</v>
      </c>
      <c r="Y10" s="13">
        <v>180</v>
      </c>
      <c r="Z10" s="13" t="s">
        <v>185</v>
      </c>
      <c r="AB10" s="13">
        <v>0</v>
      </c>
      <c r="AD10" s="14">
        <f>(31+36)/2</f>
        <v>33.5</v>
      </c>
      <c r="AE10" s="14">
        <v>2</v>
      </c>
      <c r="AF10" s="14">
        <v>1</v>
      </c>
      <c r="AG10" s="14">
        <v>50</v>
      </c>
      <c r="AH10" s="14">
        <v>0</v>
      </c>
      <c r="AI10" s="15">
        <f>(114+97)/2</f>
        <v>105.5</v>
      </c>
      <c r="AJ10" s="14">
        <v>1</v>
      </c>
      <c r="AK10" s="14">
        <v>1</v>
      </c>
      <c r="AL10" s="14"/>
      <c r="AM10" s="16" t="s">
        <v>186</v>
      </c>
      <c r="AO10" s="13">
        <v>0</v>
      </c>
      <c r="AP10" s="13">
        <v>0</v>
      </c>
      <c r="AT10" s="13">
        <v>0</v>
      </c>
      <c r="AU10" s="13">
        <v>0</v>
      </c>
      <c r="AX10" s="14"/>
      <c r="AY10" s="13">
        <v>180</v>
      </c>
      <c r="AZ10" s="16" t="s">
        <v>187</v>
      </c>
    </row>
    <row r="11" spans="1:52" ht="16.5" customHeight="1" x14ac:dyDescent="0.35">
      <c r="A11" s="19" t="s">
        <v>7</v>
      </c>
      <c r="B11" s="13" t="s">
        <v>0</v>
      </c>
      <c r="C11" s="13">
        <v>2023</v>
      </c>
      <c r="D11" s="14">
        <v>27</v>
      </c>
      <c r="E11" s="13">
        <v>2</v>
      </c>
      <c r="F11" s="13">
        <v>1</v>
      </c>
      <c r="G11" s="13">
        <v>66.67</v>
      </c>
      <c r="H11" s="13">
        <v>0</v>
      </c>
      <c r="I11" s="13">
        <v>0</v>
      </c>
      <c r="J11" s="13">
        <v>0</v>
      </c>
      <c r="K11" s="13">
        <v>0</v>
      </c>
      <c r="O11" s="13">
        <v>1</v>
      </c>
      <c r="P11" s="13">
        <v>1</v>
      </c>
      <c r="T11" s="13">
        <v>1</v>
      </c>
      <c r="U11" s="13">
        <v>0</v>
      </c>
      <c r="W11" s="13" t="s">
        <v>188</v>
      </c>
      <c r="Y11" s="13">
        <v>200</v>
      </c>
      <c r="Z11" s="13" t="s">
        <v>189</v>
      </c>
      <c r="AB11" s="13">
        <v>0</v>
      </c>
      <c r="AD11" s="14">
        <v>35</v>
      </c>
      <c r="AE11" s="14">
        <v>1</v>
      </c>
      <c r="AF11" s="14">
        <v>1</v>
      </c>
      <c r="AG11" s="14">
        <v>100</v>
      </c>
      <c r="AH11" s="14">
        <v>0</v>
      </c>
      <c r="AI11" s="15">
        <v>131.9</v>
      </c>
      <c r="AJ11" s="14">
        <v>0</v>
      </c>
      <c r="AK11" s="14">
        <v>0</v>
      </c>
      <c r="AL11" s="14"/>
      <c r="AO11" s="13">
        <v>0</v>
      </c>
      <c r="AP11" s="13">
        <v>0</v>
      </c>
      <c r="AT11" s="13">
        <v>0</v>
      </c>
      <c r="AU11" s="13">
        <v>0</v>
      </c>
      <c r="AX11" s="14"/>
      <c r="AY11" s="13">
        <v>200</v>
      </c>
      <c r="AZ11" s="16" t="s">
        <v>190</v>
      </c>
    </row>
    <row r="12" spans="1:52" ht="14.25" customHeight="1" x14ac:dyDescent="0.35">
      <c r="A12" s="19" t="s">
        <v>8</v>
      </c>
      <c r="B12" s="13" t="s">
        <v>0</v>
      </c>
      <c r="C12" s="13">
        <v>2023</v>
      </c>
      <c r="D12" s="14">
        <f>40/2</f>
        <v>20</v>
      </c>
      <c r="E12" s="13">
        <v>7</v>
      </c>
      <c r="F12" s="13">
        <v>2</v>
      </c>
      <c r="G12" s="13">
        <f>60*0.2+10*0.3</f>
        <v>15</v>
      </c>
      <c r="H12" s="13">
        <v>1</v>
      </c>
      <c r="I12" s="13">
        <f>125*0.6+113*0.3+64*0.1</f>
        <v>115.30000000000001</v>
      </c>
      <c r="J12" s="13">
        <v>1</v>
      </c>
      <c r="K12" s="14">
        <v>1</v>
      </c>
      <c r="L12" s="14" t="s">
        <v>191</v>
      </c>
      <c r="M12" s="13" t="s">
        <v>192</v>
      </c>
      <c r="N12" s="13" t="s">
        <v>191</v>
      </c>
      <c r="O12" s="13">
        <v>0</v>
      </c>
      <c r="P12" s="13">
        <v>0</v>
      </c>
      <c r="T12" s="13">
        <v>1</v>
      </c>
      <c r="U12" s="13">
        <v>0</v>
      </c>
      <c r="W12" s="16" t="s">
        <v>193</v>
      </c>
      <c r="X12" s="14" t="s">
        <v>194</v>
      </c>
      <c r="Y12" s="13">
        <v>150</v>
      </c>
      <c r="Z12" s="13" t="s">
        <v>195</v>
      </c>
      <c r="AB12" s="13">
        <v>0</v>
      </c>
      <c r="AD12" s="14">
        <f>60/2</f>
        <v>30</v>
      </c>
      <c r="AE12" s="14">
        <v>7</v>
      </c>
      <c r="AF12" s="14">
        <v>2</v>
      </c>
      <c r="AG12" s="14">
        <f>60*0.2+10*0.3</f>
        <v>15</v>
      </c>
      <c r="AH12" s="14">
        <v>1</v>
      </c>
      <c r="AI12" s="14">
        <f>125*0.6+113*0.3+64*0.1</f>
        <v>115.30000000000001</v>
      </c>
      <c r="AJ12" s="14">
        <v>1</v>
      </c>
      <c r="AK12" s="14">
        <v>1</v>
      </c>
      <c r="AL12" s="14" t="s">
        <v>191</v>
      </c>
      <c r="AM12" s="13" t="s">
        <v>192</v>
      </c>
      <c r="AN12" s="13" t="s">
        <v>191</v>
      </c>
      <c r="AO12" s="13">
        <v>0</v>
      </c>
      <c r="AP12" s="13">
        <v>0</v>
      </c>
      <c r="AT12" s="13">
        <v>1</v>
      </c>
      <c r="AU12" s="13">
        <v>0</v>
      </c>
      <c r="AW12" s="16" t="s">
        <v>193</v>
      </c>
      <c r="AX12" s="14" t="s">
        <v>194</v>
      </c>
      <c r="AY12" s="13">
        <v>150</v>
      </c>
      <c r="AZ12" s="13" t="s">
        <v>195</v>
      </c>
    </row>
    <row r="13" spans="1:52" ht="22.5" customHeight="1" x14ac:dyDescent="0.35">
      <c r="A13" s="19" t="s">
        <v>9</v>
      </c>
      <c r="B13" s="13" t="s">
        <v>0</v>
      </c>
      <c r="C13" s="13">
        <v>2023</v>
      </c>
      <c r="D13" s="14">
        <f>1.167/3.5*100</f>
        <v>33.342857142857149</v>
      </c>
      <c r="E13" s="13">
        <v>0</v>
      </c>
      <c r="G13" s="13">
        <v>0</v>
      </c>
      <c r="H13" s="13">
        <v>0</v>
      </c>
      <c r="I13" s="13">
        <v>76.5</v>
      </c>
      <c r="J13" s="13">
        <v>0</v>
      </c>
      <c r="K13" s="13">
        <v>0</v>
      </c>
      <c r="O13" s="13">
        <v>0</v>
      </c>
      <c r="P13" s="13">
        <v>0</v>
      </c>
      <c r="T13" s="13">
        <v>0</v>
      </c>
      <c r="U13" s="13">
        <v>0</v>
      </c>
      <c r="Y13" s="13">
        <v>200</v>
      </c>
      <c r="Z13" s="13" t="s">
        <v>196</v>
      </c>
      <c r="AB13" s="13">
        <v>0</v>
      </c>
      <c r="AD13" s="14">
        <f>0.783/3.5*100</f>
        <v>22.371428571428574</v>
      </c>
      <c r="AE13" s="14">
        <v>6</v>
      </c>
      <c r="AF13" s="14">
        <v>1</v>
      </c>
      <c r="AG13" s="14">
        <v>100</v>
      </c>
      <c r="AH13" s="14">
        <v>0</v>
      </c>
      <c r="AI13" s="15">
        <v>0</v>
      </c>
      <c r="AJ13" s="14">
        <v>1</v>
      </c>
      <c r="AK13" s="14">
        <v>1</v>
      </c>
      <c r="AL13" s="14"/>
      <c r="AM13" s="13" t="s">
        <v>197</v>
      </c>
      <c r="AO13" s="13">
        <v>1</v>
      </c>
      <c r="AP13" s="13">
        <v>1</v>
      </c>
      <c r="AR13" s="13" t="s">
        <v>198</v>
      </c>
      <c r="AT13" s="13">
        <v>1</v>
      </c>
      <c r="AU13" s="13">
        <v>0</v>
      </c>
      <c r="AW13" s="13" t="s">
        <v>199</v>
      </c>
      <c r="AY13" s="13">
        <v>200</v>
      </c>
      <c r="AZ13" s="13" t="s">
        <v>200</v>
      </c>
    </row>
    <row r="14" spans="1:52" ht="15.75" customHeight="1" x14ac:dyDescent="0.35">
      <c r="A14" s="19" t="s">
        <v>10</v>
      </c>
      <c r="B14" s="13" t="s">
        <v>0</v>
      </c>
      <c r="C14" s="13">
        <v>2023</v>
      </c>
      <c r="D14" s="14">
        <v>40</v>
      </c>
      <c r="E14" s="13">
        <v>1</v>
      </c>
      <c r="F14" s="13">
        <v>2</v>
      </c>
      <c r="G14" s="13">
        <v>25</v>
      </c>
      <c r="H14" s="13">
        <v>0</v>
      </c>
      <c r="I14" s="13">
        <v>50</v>
      </c>
      <c r="J14" s="13">
        <v>1</v>
      </c>
      <c r="K14" s="13">
        <v>1</v>
      </c>
      <c r="L14" s="13">
        <v>25</v>
      </c>
      <c r="O14" s="13">
        <v>0</v>
      </c>
      <c r="P14" s="13">
        <v>0</v>
      </c>
      <c r="T14" s="13">
        <v>0</v>
      </c>
      <c r="U14" s="13">
        <v>0</v>
      </c>
      <c r="Y14" s="13">
        <v>250</v>
      </c>
      <c r="Z14" s="16" t="s">
        <v>201</v>
      </c>
      <c r="AB14" s="13">
        <v>0</v>
      </c>
      <c r="AD14" s="14">
        <v>30</v>
      </c>
      <c r="AE14" s="14">
        <v>1</v>
      </c>
      <c r="AF14" s="14">
        <v>1</v>
      </c>
      <c r="AG14" s="14">
        <v>25</v>
      </c>
      <c r="AH14" s="14">
        <v>0</v>
      </c>
      <c r="AI14" s="15">
        <v>119.9</v>
      </c>
      <c r="AJ14" s="14">
        <v>1</v>
      </c>
      <c r="AK14" s="14">
        <v>1</v>
      </c>
      <c r="AL14" s="14"/>
      <c r="AO14" s="13">
        <v>0</v>
      </c>
      <c r="AP14" s="13">
        <v>0</v>
      </c>
      <c r="AT14" s="13">
        <v>0</v>
      </c>
      <c r="AU14" s="13">
        <v>0</v>
      </c>
      <c r="AX14" s="14"/>
      <c r="AY14" s="13">
        <v>200</v>
      </c>
      <c r="AZ14" s="16" t="s">
        <v>202</v>
      </c>
    </row>
    <row r="15" spans="1:52" ht="24.75" customHeight="1" x14ac:dyDescent="0.35">
      <c r="A15" s="19" t="s">
        <v>11</v>
      </c>
      <c r="B15" s="13" t="s">
        <v>0</v>
      </c>
      <c r="C15" s="13">
        <v>2023</v>
      </c>
      <c r="D15" s="26">
        <f>(20+34)/2</f>
        <v>27</v>
      </c>
      <c r="E15" s="13">
        <v>2</v>
      </c>
      <c r="F15" s="13">
        <v>2</v>
      </c>
      <c r="G15" s="13">
        <v>25</v>
      </c>
      <c r="H15" s="13">
        <v>0</v>
      </c>
      <c r="I15" s="13">
        <v>180</v>
      </c>
      <c r="J15" s="13">
        <v>1</v>
      </c>
      <c r="K15" s="13">
        <v>0</v>
      </c>
      <c r="M15" s="16" t="s">
        <v>203</v>
      </c>
      <c r="N15" s="13">
        <v>20</v>
      </c>
      <c r="O15" s="13">
        <v>1</v>
      </c>
      <c r="P15" s="13">
        <v>1</v>
      </c>
      <c r="Q15" s="13">
        <v>5</v>
      </c>
      <c r="T15" s="13">
        <v>0</v>
      </c>
      <c r="U15" s="13">
        <v>0</v>
      </c>
      <c r="Y15" s="13">
        <v>200</v>
      </c>
      <c r="Z15" s="13" t="s">
        <v>204</v>
      </c>
      <c r="AB15" s="13">
        <v>0</v>
      </c>
      <c r="AD15" s="14">
        <f>(35+50)/2</f>
        <v>42.5</v>
      </c>
      <c r="AE15" s="14">
        <v>2</v>
      </c>
      <c r="AF15" s="14">
        <v>2</v>
      </c>
      <c r="AG15" s="14">
        <v>25</v>
      </c>
      <c r="AH15" s="14">
        <v>0</v>
      </c>
      <c r="AI15" s="15">
        <v>180</v>
      </c>
      <c r="AJ15" s="14">
        <v>1</v>
      </c>
      <c r="AK15" s="14">
        <v>1</v>
      </c>
      <c r="AL15" s="14">
        <f>25/2</f>
        <v>12.5</v>
      </c>
      <c r="AO15" s="13">
        <v>1</v>
      </c>
      <c r="AP15" s="13">
        <v>0</v>
      </c>
      <c r="AR15" s="16" t="s">
        <v>205</v>
      </c>
      <c r="AS15" s="13">
        <f>25/2</f>
        <v>12.5</v>
      </c>
      <c r="AT15" s="13">
        <v>1</v>
      </c>
      <c r="AU15" s="13">
        <v>0</v>
      </c>
      <c r="AW15" s="13" t="s">
        <v>205</v>
      </c>
      <c r="AX15" s="13">
        <f>25/2</f>
        <v>12.5</v>
      </c>
      <c r="AY15" s="13">
        <v>300</v>
      </c>
      <c r="AZ15" s="16" t="s">
        <v>206</v>
      </c>
    </row>
    <row r="16" spans="1:52" ht="25.5" customHeight="1" x14ac:dyDescent="0.35">
      <c r="A16" s="19" t="s">
        <v>12</v>
      </c>
      <c r="B16" s="13" t="s">
        <v>0</v>
      </c>
      <c r="C16" s="13">
        <v>2023</v>
      </c>
      <c r="D16" s="14">
        <f>(22+23)/2</f>
        <v>22.5</v>
      </c>
      <c r="E16" s="13">
        <v>5</v>
      </c>
      <c r="F16" s="13">
        <v>2</v>
      </c>
      <c r="G16" s="13">
        <f>(5/6)*50*0.375</f>
        <v>15.625000000000002</v>
      </c>
      <c r="H16" s="13">
        <v>1</v>
      </c>
      <c r="I16" s="13">
        <v>124.88</v>
      </c>
      <c r="J16" s="13">
        <v>0</v>
      </c>
      <c r="K16" s="13">
        <v>0</v>
      </c>
      <c r="O16" s="13">
        <v>1</v>
      </c>
      <c r="P16" s="13">
        <v>1</v>
      </c>
      <c r="Q16" s="13">
        <f>(1/6)*50*0.375</f>
        <v>3.1249999999999996</v>
      </c>
      <c r="R16" s="13" t="s">
        <v>207</v>
      </c>
      <c r="S16" s="13">
        <f>(1/6)*50*0.375</f>
        <v>3.1249999999999996</v>
      </c>
      <c r="T16" s="13">
        <v>1</v>
      </c>
      <c r="U16" s="13">
        <v>1</v>
      </c>
      <c r="V16" s="13">
        <f>(1/6)*50*0.375</f>
        <v>3.1249999999999996</v>
      </c>
      <c r="W16" s="13" t="s">
        <v>208</v>
      </c>
      <c r="X16" s="13">
        <f>(1/6)*50*0.375</f>
        <v>3.1249999999999996</v>
      </c>
      <c r="Y16" s="13">
        <v>150</v>
      </c>
      <c r="Z16" s="16" t="s">
        <v>209</v>
      </c>
      <c r="AB16" s="13">
        <v>0</v>
      </c>
      <c r="AD16" s="14">
        <f>(34+33)/2</f>
        <v>33.5</v>
      </c>
      <c r="AE16" s="14">
        <v>7</v>
      </c>
      <c r="AF16" s="14">
        <v>2</v>
      </c>
      <c r="AG16" s="14">
        <v>33.33</v>
      </c>
      <c r="AH16" s="14">
        <v>0</v>
      </c>
      <c r="AI16" s="15">
        <v>77.53</v>
      </c>
      <c r="AJ16" s="14">
        <v>1</v>
      </c>
      <c r="AK16" s="14">
        <v>1</v>
      </c>
      <c r="AL16" s="14" t="s">
        <v>210</v>
      </c>
      <c r="AM16" s="13" t="s">
        <v>211</v>
      </c>
      <c r="AN16" s="13">
        <f>0.3333*(12.5)</f>
        <v>4.1662499999999998</v>
      </c>
      <c r="AO16" s="13">
        <v>1</v>
      </c>
      <c r="AP16" s="13">
        <v>1</v>
      </c>
      <c r="AQ16" s="13">
        <f>0.3333*(5)</f>
        <v>1.6664999999999999</v>
      </c>
      <c r="AR16" s="13" t="s">
        <v>212</v>
      </c>
      <c r="AS16" s="13">
        <f>0.3333*(10)</f>
        <v>3.3329999999999997</v>
      </c>
      <c r="AT16" s="13">
        <v>1</v>
      </c>
      <c r="AU16" s="13">
        <v>0</v>
      </c>
      <c r="AW16" s="16" t="s">
        <v>213</v>
      </c>
      <c r="AX16" s="14" t="s">
        <v>214</v>
      </c>
      <c r="AY16" s="13">
        <v>150</v>
      </c>
      <c r="AZ16" s="16" t="s">
        <v>215</v>
      </c>
    </row>
    <row r="17" spans="1:52" ht="27" customHeight="1" x14ac:dyDescent="0.35">
      <c r="A17" s="19" t="s">
        <v>13</v>
      </c>
      <c r="B17" s="13" t="s">
        <v>0</v>
      </c>
      <c r="C17" s="13">
        <v>2023</v>
      </c>
      <c r="D17" s="14">
        <v>45</v>
      </c>
      <c r="E17" s="13">
        <v>0</v>
      </c>
      <c r="G17" s="13">
        <v>0</v>
      </c>
      <c r="H17" s="13">
        <v>1</v>
      </c>
      <c r="I17" s="13">
        <v>192.67</v>
      </c>
      <c r="J17" s="13">
        <v>0</v>
      </c>
      <c r="K17" s="13">
        <v>0</v>
      </c>
      <c r="O17" s="13">
        <v>0</v>
      </c>
      <c r="P17" s="13">
        <v>0</v>
      </c>
      <c r="T17" s="13">
        <v>0</v>
      </c>
      <c r="U17" s="13">
        <v>0</v>
      </c>
      <c r="Y17" s="13">
        <v>200</v>
      </c>
      <c r="Z17" s="16" t="s">
        <v>216</v>
      </c>
      <c r="AB17" s="13">
        <v>0</v>
      </c>
      <c r="AD17" s="14">
        <v>25</v>
      </c>
      <c r="AE17" s="14">
        <v>4</v>
      </c>
      <c r="AF17" s="14">
        <v>2</v>
      </c>
      <c r="AG17" s="14">
        <v>25</v>
      </c>
      <c r="AH17" s="14">
        <v>0</v>
      </c>
      <c r="AI17" s="15">
        <v>162.69</v>
      </c>
      <c r="AJ17" s="14">
        <v>1</v>
      </c>
      <c r="AK17" s="14">
        <v>1</v>
      </c>
      <c r="AL17" s="14">
        <v>6.25</v>
      </c>
      <c r="AO17" s="13">
        <v>1</v>
      </c>
      <c r="AP17" s="13">
        <v>1</v>
      </c>
      <c r="AQ17" s="13">
        <v>6.25</v>
      </c>
      <c r="AS17" s="14"/>
      <c r="AT17" s="13">
        <v>0</v>
      </c>
      <c r="AU17" s="13">
        <v>0</v>
      </c>
      <c r="AX17" s="14"/>
      <c r="AY17" s="13">
        <v>242</v>
      </c>
      <c r="AZ17" s="13" t="s">
        <v>217</v>
      </c>
    </row>
    <row r="18" spans="1:52" ht="24" customHeight="1" x14ac:dyDescent="0.35">
      <c r="A18" s="19" t="s">
        <v>14</v>
      </c>
      <c r="B18" s="13" t="s">
        <v>0</v>
      </c>
      <c r="C18" s="13">
        <v>2023</v>
      </c>
      <c r="D18" s="14">
        <f>80/(100+35+80+100)*100</f>
        <v>25.396825396825395</v>
      </c>
      <c r="E18" s="13">
        <v>3</v>
      </c>
      <c r="F18" s="13">
        <v>2</v>
      </c>
      <c r="G18" s="13">
        <v>30</v>
      </c>
      <c r="H18" s="13">
        <v>0</v>
      </c>
      <c r="I18" s="13">
        <v>93.07</v>
      </c>
      <c r="J18" s="13">
        <v>1</v>
      </c>
      <c r="K18" s="13">
        <v>1</v>
      </c>
      <c r="L18" s="13">
        <v>10</v>
      </c>
      <c r="O18" s="13">
        <v>1</v>
      </c>
      <c r="P18" s="13">
        <v>1</v>
      </c>
      <c r="Q18" s="13">
        <v>10</v>
      </c>
      <c r="T18" s="13">
        <v>1</v>
      </c>
      <c r="U18" s="13">
        <v>0</v>
      </c>
      <c r="W18" s="13" t="s">
        <v>218</v>
      </c>
      <c r="X18" s="13">
        <v>10</v>
      </c>
      <c r="Y18" s="13">
        <v>120</v>
      </c>
      <c r="Z18" s="16" t="s">
        <v>219</v>
      </c>
      <c r="AB18" s="13">
        <v>1</v>
      </c>
      <c r="AC18" s="13">
        <v>2</v>
      </c>
      <c r="AD18" s="14">
        <f>100/(100+35+80+100)*100</f>
        <v>31.746031746031743</v>
      </c>
      <c r="AE18" s="14">
        <v>0</v>
      </c>
      <c r="AF18" s="14"/>
      <c r="AG18" s="14"/>
      <c r="AH18" s="14"/>
      <c r="AI18" s="15">
        <v>100</v>
      </c>
      <c r="AJ18" s="14">
        <v>0</v>
      </c>
      <c r="AK18" s="14">
        <v>0</v>
      </c>
      <c r="AL18" s="14"/>
      <c r="AO18" s="13">
        <v>0</v>
      </c>
      <c r="AP18" s="13">
        <v>0</v>
      </c>
      <c r="AS18" s="14"/>
      <c r="AT18" s="13">
        <v>0</v>
      </c>
      <c r="AU18" s="13">
        <v>0</v>
      </c>
      <c r="AX18" s="14"/>
      <c r="AY18" s="13">
        <v>250</v>
      </c>
      <c r="AZ18" s="13" t="s">
        <v>220</v>
      </c>
    </row>
    <row r="19" spans="1:52" x14ac:dyDescent="0.35">
      <c r="A19" s="19" t="s">
        <v>15</v>
      </c>
      <c r="B19" s="13" t="s">
        <v>0</v>
      </c>
      <c r="C19" s="13">
        <v>2023</v>
      </c>
      <c r="D19" s="13">
        <f>2466000/8757205*100</f>
        <v>28.159669666291926</v>
      </c>
      <c r="E19" s="13">
        <v>3</v>
      </c>
      <c r="F19" s="14" t="s">
        <v>221</v>
      </c>
      <c r="G19" s="14" t="s">
        <v>222</v>
      </c>
      <c r="H19" s="13">
        <v>0</v>
      </c>
      <c r="I19" s="13">
        <v>137</v>
      </c>
      <c r="J19" s="13">
        <v>1</v>
      </c>
      <c r="K19" s="13">
        <v>1</v>
      </c>
      <c r="L19" s="13">
        <f>0.3333*50</f>
        <v>16.664999999999999</v>
      </c>
      <c r="M19" s="13" t="s">
        <v>223</v>
      </c>
      <c r="N19" s="13">
        <f>0.3333*50</f>
        <v>16.664999999999999</v>
      </c>
      <c r="O19" s="13">
        <v>0</v>
      </c>
      <c r="P19" s="13">
        <v>0</v>
      </c>
      <c r="T19" s="13">
        <v>0</v>
      </c>
      <c r="U19" s="13">
        <v>0</v>
      </c>
      <c r="Y19" s="13">
        <v>180</v>
      </c>
      <c r="Z19" s="13" t="s">
        <v>224</v>
      </c>
      <c r="AB19" s="13">
        <v>0</v>
      </c>
      <c r="AD19" s="13">
        <f>2859167/8757205*100</f>
        <v>32.649309911096061</v>
      </c>
      <c r="AE19" s="14">
        <v>2</v>
      </c>
      <c r="AF19" s="14">
        <v>2</v>
      </c>
      <c r="AG19" s="14">
        <f>2/4*100</f>
        <v>50</v>
      </c>
      <c r="AH19" s="14">
        <v>0</v>
      </c>
      <c r="AI19" s="15">
        <v>146</v>
      </c>
      <c r="AJ19" s="14">
        <v>0</v>
      </c>
      <c r="AK19" s="14">
        <v>0</v>
      </c>
      <c r="AL19" s="14"/>
      <c r="AO19" s="13">
        <v>1</v>
      </c>
      <c r="AP19" s="13">
        <v>1</v>
      </c>
      <c r="AQ19" s="13">
        <f>1/4*100</f>
        <v>25</v>
      </c>
      <c r="AR19" s="13" t="s">
        <v>225</v>
      </c>
      <c r="AS19" s="14">
        <f>1/4*100</f>
        <v>25</v>
      </c>
      <c r="AT19" s="13">
        <v>0</v>
      </c>
      <c r="AU19" s="13">
        <v>0</v>
      </c>
      <c r="AX19" s="14"/>
      <c r="AY19" s="13">
        <v>200</v>
      </c>
      <c r="AZ19" s="13" t="s">
        <v>226</v>
      </c>
    </row>
    <row r="20" spans="1:52" ht="21" customHeight="1" x14ac:dyDescent="0.35">
      <c r="A20" s="19" t="s">
        <v>16</v>
      </c>
      <c r="B20" s="13" t="s">
        <v>0</v>
      </c>
      <c r="C20" s="13">
        <v>2023</v>
      </c>
      <c r="D20" s="14">
        <v>26</v>
      </c>
      <c r="E20" s="13">
        <v>0</v>
      </c>
      <c r="F20" s="14" t="s">
        <v>221</v>
      </c>
      <c r="G20" s="14" t="s">
        <v>227</v>
      </c>
      <c r="H20" s="13">
        <v>0</v>
      </c>
      <c r="I20" s="13">
        <v>176</v>
      </c>
      <c r="J20" s="13">
        <v>1</v>
      </c>
      <c r="K20" s="13">
        <v>0</v>
      </c>
      <c r="M20" s="16" t="s">
        <v>228</v>
      </c>
      <c r="O20" s="13">
        <v>1</v>
      </c>
      <c r="P20" s="13">
        <v>0</v>
      </c>
      <c r="R20" s="16" t="s">
        <v>229</v>
      </c>
      <c r="S20" s="14" t="s">
        <v>230</v>
      </c>
      <c r="T20" s="13">
        <v>0</v>
      </c>
      <c r="U20" s="13">
        <v>0</v>
      </c>
      <c r="Y20" s="13">
        <v>180</v>
      </c>
      <c r="Z20" s="16" t="s">
        <v>231</v>
      </c>
      <c r="AB20" s="13">
        <v>0</v>
      </c>
      <c r="AD20" s="14">
        <v>47</v>
      </c>
      <c r="AE20" s="14">
        <v>4</v>
      </c>
      <c r="AF20" s="14">
        <v>2</v>
      </c>
      <c r="AG20" s="14">
        <v>25</v>
      </c>
      <c r="AH20" s="14">
        <v>0</v>
      </c>
      <c r="AI20" s="15">
        <v>191</v>
      </c>
      <c r="AJ20" s="14">
        <v>1</v>
      </c>
      <c r="AK20" s="14">
        <v>1</v>
      </c>
      <c r="AL20" s="14">
        <f>0.25*25</f>
        <v>6.25</v>
      </c>
      <c r="AO20" s="13">
        <v>1</v>
      </c>
      <c r="AP20" s="13">
        <v>0</v>
      </c>
      <c r="AR20" s="13" t="s">
        <v>232</v>
      </c>
      <c r="AS20" s="14" t="s">
        <v>233</v>
      </c>
      <c r="AT20" s="13">
        <v>1</v>
      </c>
      <c r="AU20" s="13">
        <v>0</v>
      </c>
      <c r="AW20" s="13" t="s">
        <v>234</v>
      </c>
      <c r="AX20" s="14">
        <v>6.25</v>
      </c>
      <c r="AY20" s="13">
        <v>200</v>
      </c>
      <c r="AZ20" s="16" t="s">
        <v>235</v>
      </c>
    </row>
    <row r="21" spans="1:52" ht="24.75" customHeight="1" x14ac:dyDescent="0.35">
      <c r="A21" s="19" t="s">
        <v>17</v>
      </c>
      <c r="B21" s="13" t="s">
        <v>0</v>
      </c>
      <c r="C21" s="13">
        <v>2023</v>
      </c>
      <c r="D21" s="14">
        <v>30</v>
      </c>
      <c r="E21" s="13">
        <v>2</v>
      </c>
      <c r="F21" s="13">
        <v>2</v>
      </c>
      <c r="G21" s="13">
        <v>15</v>
      </c>
      <c r="H21" s="13">
        <v>0</v>
      </c>
      <c r="I21" s="13">
        <v>83.55</v>
      </c>
      <c r="J21" s="13">
        <v>0</v>
      </c>
      <c r="K21" s="13">
        <v>0</v>
      </c>
      <c r="O21" s="13">
        <v>1</v>
      </c>
      <c r="P21" s="13">
        <v>1</v>
      </c>
      <c r="Q21" s="13">
        <f>15*0.5</f>
        <v>7.5</v>
      </c>
      <c r="R21" s="16" t="s">
        <v>236</v>
      </c>
      <c r="S21" s="13">
        <f>15*0.5</f>
        <v>7.5</v>
      </c>
      <c r="T21" s="13">
        <v>0</v>
      </c>
      <c r="U21" s="13">
        <v>0</v>
      </c>
      <c r="Y21" s="13">
        <v>150</v>
      </c>
      <c r="Z21" s="16" t="s">
        <v>237</v>
      </c>
      <c r="AB21" s="13">
        <v>0</v>
      </c>
      <c r="AD21" s="14">
        <v>40</v>
      </c>
      <c r="AE21" s="14">
        <v>1</v>
      </c>
      <c r="AF21" s="14">
        <v>2</v>
      </c>
      <c r="AG21" s="14">
        <v>25</v>
      </c>
      <c r="AH21" s="14">
        <v>0</v>
      </c>
      <c r="AI21" s="15">
        <v>0</v>
      </c>
      <c r="AJ21" s="14">
        <v>1</v>
      </c>
      <c r="AK21" s="14">
        <v>1</v>
      </c>
      <c r="AL21" s="14">
        <v>25</v>
      </c>
      <c r="AO21" s="13">
        <v>0</v>
      </c>
      <c r="AP21" s="13">
        <v>0</v>
      </c>
      <c r="AS21" s="14"/>
      <c r="AT21" s="13">
        <v>0</v>
      </c>
      <c r="AU21" s="13">
        <v>0</v>
      </c>
      <c r="AX21" s="14"/>
      <c r="AY21" s="13">
        <v>250</v>
      </c>
      <c r="AZ21" s="16" t="s">
        <v>238</v>
      </c>
    </row>
    <row r="22" spans="1:52" x14ac:dyDescent="0.35">
      <c r="A22" s="19" t="s">
        <v>18</v>
      </c>
      <c r="B22" s="13" t="s">
        <v>0</v>
      </c>
      <c r="C22" s="13">
        <v>2023</v>
      </c>
      <c r="D22" s="14">
        <f>60*0.4</f>
        <v>24</v>
      </c>
      <c r="E22" s="13">
        <v>2</v>
      </c>
      <c r="F22" s="13">
        <v>1</v>
      </c>
      <c r="G22" s="14">
        <v>25</v>
      </c>
      <c r="H22" s="13">
        <v>1</v>
      </c>
      <c r="I22" s="13">
        <v>187.2</v>
      </c>
      <c r="J22" s="13">
        <v>0</v>
      </c>
      <c r="K22" s="13">
        <v>0</v>
      </c>
      <c r="O22" s="13">
        <v>1</v>
      </c>
      <c r="P22" s="13">
        <v>0</v>
      </c>
      <c r="R22" s="13" t="s">
        <v>239</v>
      </c>
      <c r="T22" s="13">
        <v>0</v>
      </c>
      <c r="U22" s="13">
        <v>0</v>
      </c>
      <c r="Y22" s="13">
        <v>200</v>
      </c>
      <c r="Z22" s="13" t="s">
        <v>240</v>
      </c>
      <c r="AB22" s="13">
        <v>0</v>
      </c>
      <c r="AD22" s="14">
        <f>60*0.6</f>
        <v>36</v>
      </c>
      <c r="AE22" s="14">
        <v>0</v>
      </c>
      <c r="AF22" s="14"/>
      <c r="AG22" s="14">
        <v>0</v>
      </c>
      <c r="AH22" s="14">
        <v>1</v>
      </c>
      <c r="AI22" s="14" t="s">
        <v>178</v>
      </c>
      <c r="AJ22" s="14">
        <v>0</v>
      </c>
      <c r="AK22" s="14">
        <v>0</v>
      </c>
      <c r="AL22" s="14"/>
      <c r="AO22" s="13">
        <v>0</v>
      </c>
      <c r="AP22" s="13">
        <v>0</v>
      </c>
      <c r="AS22" s="14"/>
      <c r="AT22" s="13">
        <v>0</v>
      </c>
      <c r="AU22" s="13">
        <v>0</v>
      </c>
      <c r="AX22" s="14"/>
      <c r="AY22" s="13">
        <v>400</v>
      </c>
      <c r="AZ22" s="13" t="s">
        <v>241</v>
      </c>
    </row>
    <row r="23" spans="1:52" ht="27.75" customHeight="1" x14ac:dyDescent="0.35">
      <c r="A23" s="19" t="s">
        <v>19</v>
      </c>
      <c r="B23" s="13" t="s">
        <v>0</v>
      </c>
      <c r="C23" s="13">
        <v>2023</v>
      </c>
      <c r="D23" s="14">
        <v>29</v>
      </c>
      <c r="E23" s="13">
        <v>2</v>
      </c>
      <c r="F23" s="14" t="s">
        <v>163</v>
      </c>
      <c r="G23" s="14" t="s">
        <v>242</v>
      </c>
      <c r="H23" s="13">
        <v>1</v>
      </c>
      <c r="I23" s="13">
        <v>184</v>
      </c>
      <c r="J23" s="13">
        <v>1</v>
      </c>
      <c r="K23" s="13">
        <v>1</v>
      </c>
      <c r="M23" s="16"/>
      <c r="O23" s="13">
        <v>0</v>
      </c>
      <c r="P23" s="13">
        <v>0</v>
      </c>
      <c r="R23" s="16"/>
      <c r="T23" s="13">
        <v>0</v>
      </c>
      <c r="U23" s="13">
        <v>0</v>
      </c>
      <c r="Y23" s="13">
        <v>200</v>
      </c>
      <c r="Z23" s="16" t="s">
        <v>243</v>
      </c>
      <c r="AB23" s="13">
        <v>0</v>
      </c>
      <c r="AD23" s="14">
        <v>42</v>
      </c>
      <c r="AE23" s="14">
        <v>0</v>
      </c>
      <c r="AF23" s="14"/>
      <c r="AG23" s="14">
        <v>0</v>
      </c>
      <c r="AH23" s="14">
        <v>0</v>
      </c>
      <c r="AI23" s="14">
        <v>200</v>
      </c>
      <c r="AJ23" s="14">
        <v>0</v>
      </c>
      <c r="AK23" s="14">
        <v>0</v>
      </c>
      <c r="AL23" s="14"/>
      <c r="AO23" s="13">
        <v>0</v>
      </c>
      <c r="AP23" s="13">
        <v>0</v>
      </c>
      <c r="AS23" s="14"/>
      <c r="AT23" s="13">
        <v>0</v>
      </c>
      <c r="AU23" s="13">
        <v>0</v>
      </c>
      <c r="AY23" s="13">
        <v>200</v>
      </c>
      <c r="AZ23" s="13" t="s">
        <v>244</v>
      </c>
    </row>
    <row r="24" spans="1:52" ht="27" customHeight="1" x14ac:dyDescent="0.35">
      <c r="A24" s="19" t="s">
        <v>20</v>
      </c>
      <c r="B24" s="13" t="s">
        <v>0</v>
      </c>
      <c r="C24" s="13">
        <v>2023</v>
      </c>
      <c r="D24" s="14">
        <f>21/61*100</f>
        <v>34.42622950819672</v>
      </c>
      <c r="E24" s="13">
        <v>2</v>
      </c>
      <c r="F24" s="13">
        <v>1</v>
      </c>
      <c r="G24" s="13">
        <f>33.33*2/5</f>
        <v>13.331999999999999</v>
      </c>
      <c r="H24" s="13">
        <v>1</v>
      </c>
      <c r="I24" s="13">
        <f>315/210*100</f>
        <v>150</v>
      </c>
      <c r="J24" s="13">
        <v>0</v>
      </c>
      <c r="K24" s="13">
        <v>0</v>
      </c>
      <c r="O24" s="13">
        <v>1</v>
      </c>
      <c r="P24" s="13">
        <v>0</v>
      </c>
      <c r="R24" s="13" t="s">
        <v>245</v>
      </c>
      <c r="T24" s="13">
        <v>0</v>
      </c>
      <c r="U24" s="13">
        <v>0</v>
      </c>
      <c r="Y24" s="13">
        <v>150</v>
      </c>
      <c r="Z24" s="16" t="s">
        <v>246</v>
      </c>
      <c r="AB24" s="13">
        <v>0</v>
      </c>
      <c r="AD24" s="14">
        <f>25/61*100</f>
        <v>40.983606557377051</v>
      </c>
      <c r="AE24" s="14">
        <v>2</v>
      </c>
      <c r="AF24" s="14">
        <v>2</v>
      </c>
      <c r="AG24" s="14">
        <v>20</v>
      </c>
      <c r="AH24" s="14">
        <v>0</v>
      </c>
      <c r="AI24" s="15">
        <f>0.6*107.34-4.88*0.2+0.1*150+0.1*90</f>
        <v>87.427999999999997</v>
      </c>
      <c r="AJ24" s="14">
        <v>1</v>
      </c>
      <c r="AK24" s="14">
        <v>1</v>
      </c>
      <c r="AL24" s="14">
        <v>10</v>
      </c>
      <c r="AM24" s="16"/>
      <c r="AO24" s="13">
        <v>1</v>
      </c>
      <c r="AP24" s="13">
        <v>0</v>
      </c>
      <c r="AR24" s="16" t="s">
        <v>247</v>
      </c>
      <c r="AS24" s="14">
        <v>10</v>
      </c>
      <c r="AT24" s="13">
        <v>0</v>
      </c>
      <c r="AU24" s="13">
        <v>0</v>
      </c>
      <c r="AY24" s="13">
        <v>150</v>
      </c>
      <c r="AZ24" s="13" t="s">
        <v>248</v>
      </c>
    </row>
    <row r="25" spans="1:52" ht="27" customHeight="1" x14ac:dyDescent="0.35">
      <c r="A25" s="19" t="s">
        <v>21</v>
      </c>
      <c r="B25" s="13" t="s">
        <v>0</v>
      </c>
      <c r="C25" s="13">
        <v>2023</v>
      </c>
      <c r="D25" s="14">
        <v>17</v>
      </c>
      <c r="E25" s="13">
        <v>1</v>
      </c>
      <c r="F25" s="13">
        <v>1</v>
      </c>
      <c r="G25" s="13">
        <f>1/7*100</f>
        <v>14.285714285714285</v>
      </c>
      <c r="H25" s="13">
        <v>0</v>
      </c>
      <c r="I25" s="13">
        <v>132.69999999999999</v>
      </c>
      <c r="J25" s="13">
        <v>0</v>
      </c>
      <c r="K25" s="13">
        <v>0</v>
      </c>
      <c r="O25" s="13">
        <v>0</v>
      </c>
      <c r="P25" s="13">
        <v>0</v>
      </c>
      <c r="T25" s="13">
        <v>0</v>
      </c>
      <c r="U25" s="13">
        <v>0</v>
      </c>
      <c r="Y25" s="13">
        <v>250</v>
      </c>
      <c r="Z25" s="16" t="s">
        <v>249</v>
      </c>
      <c r="AB25" s="13">
        <v>0</v>
      </c>
      <c r="AD25" s="14">
        <v>35</v>
      </c>
      <c r="AE25" s="14">
        <v>2</v>
      </c>
      <c r="AF25" s="14">
        <v>2</v>
      </c>
      <c r="AG25" s="14">
        <f>(20+30)/2</f>
        <v>25</v>
      </c>
      <c r="AH25" s="14">
        <v>0</v>
      </c>
      <c r="AI25" s="15">
        <v>50</v>
      </c>
      <c r="AJ25" s="14">
        <v>1</v>
      </c>
      <c r="AK25" s="14">
        <v>1</v>
      </c>
      <c r="AL25" s="14">
        <v>10</v>
      </c>
      <c r="AO25" s="13">
        <v>1</v>
      </c>
      <c r="AP25" s="13">
        <v>0</v>
      </c>
      <c r="AR25" s="13" t="s">
        <v>250</v>
      </c>
      <c r="AS25" s="14">
        <v>10</v>
      </c>
      <c r="AT25" s="13">
        <v>1</v>
      </c>
      <c r="AU25" s="13">
        <v>0</v>
      </c>
      <c r="AW25" s="13" t="s">
        <v>250</v>
      </c>
      <c r="AX25" s="14">
        <v>10</v>
      </c>
      <c r="AY25" s="13">
        <v>250</v>
      </c>
      <c r="AZ25" s="13" t="s">
        <v>251</v>
      </c>
    </row>
    <row r="26" spans="1:52" ht="33.75" customHeight="1" x14ac:dyDescent="0.35">
      <c r="A26" s="19" t="s">
        <v>22</v>
      </c>
      <c r="B26" s="13" t="s">
        <v>0</v>
      </c>
      <c r="C26" s="13">
        <v>2023</v>
      </c>
      <c r="D26" s="14">
        <v>30</v>
      </c>
      <c r="E26" s="13">
        <v>6</v>
      </c>
      <c r="F26" s="14" t="s">
        <v>163</v>
      </c>
      <c r="G26" s="14" t="s">
        <v>252</v>
      </c>
      <c r="H26" s="13">
        <v>0</v>
      </c>
      <c r="I26" s="13">
        <v>200</v>
      </c>
      <c r="J26" s="13">
        <v>1</v>
      </c>
      <c r="K26" s="13">
        <v>1</v>
      </c>
      <c r="O26" s="13">
        <v>1</v>
      </c>
      <c r="P26" s="13">
        <v>1</v>
      </c>
      <c r="R26" s="13" t="s">
        <v>253</v>
      </c>
      <c r="T26" s="13">
        <v>1</v>
      </c>
      <c r="U26" s="13">
        <v>0</v>
      </c>
      <c r="W26" s="13" t="s">
        <v>254</v>
      </c>
      <c r="Y26" s="13">
        <v>200</v>
      </c>
      <c r="Z26" s="16" t="s">
        <v>255</v>
      </c>
      <c r="AB26" s="13">
        <v>0</v>
      </c>
      <c r="AD26" s="14">
        <v>40</v>
      </c>
      <c r="AE26" s="14">
        <v>1</v>
      </c>
      <c r="AF26" s="14">
        <v>2</v>
      </c>
      <c r="AG26" s="14">
        <v>20</v>
      </c>
      <c r="AH26" s="14">
        <v>0</v>
      </c>
      <c r="AI26" s="15">
        <v>186</v>
      </c>
      <c r="AJ26" s="14">
        <v>0</v>
      </c>
      <c r="AK26" s="14">
        <v>0</v>
      </c>
      <c r="AL26" s="14"/>
      <c r="AO26" s="13">
        <v>0</v>
      </c>
      <c r="AP26" s="13">
        <v>0</v>
      </c>
      <c r="AT26" s="13">
        <v>0</v>
      </c>
      <c r="AU26" s="13">
        <v>0</v>
      </c>
      <c r="AY26" s="13">
        <v>250</v>
      </c>
      <c r="AZ26" s="16" t="s">
        <v>256</v>
      </c>
    </row>
    <row r="27" spans="1:52" ht="19.5" customHeight="1" x14ac:dyDescent="0.35">
      <c r="A27" s="19" t="s">
        <v>23</v>
      </c>
      <c r="B27" s="13" t="s">
        <v>0</v>
      </c>
      <c r="C27" s="13">
        <v>2023</v>
      </c>
      <c r="D27" s="13">
        <v>67</v>
      </c>
      <c r="E27" s="13">
        <v>4</v>
      </c>
      <c r="F27" s="13">
        <v>1</v>
      </c>
      <c r="G27" s="13">
        <f>5/11*100</f>
        <v>45.454545454545453</v>
      </c>
      <c r="H27" s="13">
        <v>0</v>
      </c>
      <c r="I27" s="13">
        <v>100</v>
      </c>
      <c r="J27" s="13">
        <v>0</v>
      </c>
      <c r="K27" s="13">
        <v>0</v>
      </c>
      <c r="O27" s="13">
        <v>0</v>
      </c>
      <c r="P27" s="13">
        <v>0</v>
      </c>
      <c r="T27" s="13">
        <v>1</v>
      </c>
      <c r="U27" s="13">
        <v>1</v>
      </c>
      <c r="Y27" s="14" t="s">
        <v>178</v>
      </c>
      <c r="Z27" s="16" t="s">
        <v>257</v>
      </c>
      <c r="AB27" s="13">
        <v>0</v>
      </c>
      <c r="AD27" s="14">
        <v>0</v>
      </c>
      <c r="AE27" s="14">
        <v>3</v>
      </c>
      <c r="AF27" s="14">
        <v>1</v>
      </c>
      <c r="AG27" s="14">
        <v>100</v>
      </c>
      <c r="AH27" s="14">
        <v>0</v>
      </c>
      <c r="AI27" s="15">
        <v>135.4</v>
      </c>
      <c r="AJ27" s="14">
        <v>1</v>
      </c>
      <c r="AK27" s="14">
        <v>1</v>
      </c>
      <c r="AL27" s="14"/>
      <c r="AM27" s="16" t="s">
        <v>258</v>
      </c>
      <c r="AO27" s="13">
        <v>1</v>
      </c>
      <c r="AP27" s="13">
        <v>0</v>
      </c>
      <c r="AR27" s="16" t="s">
        <v>259</v>
      </c>
      <c r="AT27" s="13">
        <v>0</v>
      </c>
      <c r="AU27" s="13">
        <v>0</v>
      </c>
      <c r="AY27" s="13">
        <v>250</v>
      </c>
      <c r="AZ27" s="16" t="s">
        <v>260</v>
      </c>
    </row>
    <row r="28" spans="1:52" ht="21.75" customHeight="1" x14ac:dyDescent="0.35">
      <c r="A28" s="19" t="s">
        <v>24</v>
      </c>
      <c r="B28" s="13" t="s">
        <v>0</v>
      </c>
      <c r="C28" s="13">
        <v>2023</v>
      </c>
      <c r="D28" s="14">
        <v>24</v>
      </c>
      <c r="E28" s="13">
        <v>2</v>
      </c>
      <c r="F28" s="13">
        <v>1</v>
      </c>
      <c r="G28" s="13">
        <v>100</v>
      </c>
      <c r="H28" s="13">
        <v>0</v>
      </c>
      <c r="I28" s="13">
        <v>139.25</v>
      </c>
      <c r="J28" s="13">
        <v>1</v>
      </c>
      <c r="K28" s="13">
        <v>1</v>
      </c>
      <c r="L28" s="13">
        <v>50</v>
      </c>
      <c r="O28" s="13">
        <v>1</v>
      </c>
      <c r="P28" s="13">
        <v>0</v>
      </c>
      <c r="R28" s="13" t="s">
        <v>261</v>
      </c>
      <c r="S28" s="13">
        <v>50</v>
      </c>
      <c r="T28" s="13">
        <v>0</v>
      </c>
      <c r="U28" s="13">
        <v>0</v>
      </c>
      <c r="Y28" s="13">
        <v>200</v>
      </c>
      <c r="Z28" s="16" t="s">
        <v>262</v>
      </c>
      <c r="AB28" s="13">
        <v>0</v>
      </c>
      <c r="AD28" s="14">
        <v>36</v>
      </c>
      <c r="AE28" s="14">
        <v>0</v>
      </c>
      <c r="AF28" s="14"/>
      <c r="AG28" s="14">
        <v>0</v>
      </c>
      <c r="AH28" s="14">
        <v>0</v>
      </c>
      <c r="AI28" s="15">
        <v>101.54</v>
      </c>
      <c r="AJ28" s="14">
        <v>0</v>
      </c>
      <c r="AK28" s="14">
        <v>0</v>
      </c>
      <c r="AL28" s="14"/>
      <c r="AO28" s="13">
        <v>0</v>
      </c>
      <c r="AP28" s="13">
        <v>0</v>
      </c>
      <c r="AT28" s="13">
        <v>0</v>
      </c>
      <c r="AU28" s="13">
        <v>0</v>
      </c>
      <c r="AY28" s="13">
        <v>200</v>
      </c>
      <c r="AZ28" s="16" t="s">
        <v>263</v>
      </c>
    </row>
    <row r="29" spans="1:52" ht="29.25" customHeight="1" x14ac:dyDescent="0.35">
      <c r="A29" s="19" t="s">
        <v>25</v>
      </c>
      <c r="B29" s="13" t="s">
        <v>0</v>
      </c>
      <c r="C29" s="13">
        <v>2023</v>
      </c>
      <c r="D29" s="14">
        <v>12</v>
      </c>
      <c r="E29" s="13">
        <v>8</v>
      </c>
      <c r="F29" s="13">
        <v>1</v>
      </c>
      <c r="G29" s="13">
        <v>100</v>
      </c>
      <c r="H29" s="13">
        <v>0</v>
      </c>
      <c r="I29" s="13">
        <v>180</v>
      </c>
      <c r="J29" s="13">
        <v>1</v>
      </c>
      <c r="K29" s="13">
        <v>1</v>
      </c>
      <c r="O29" s="13">
        <v>1</v>
      </c>
      <c r="P29" s="13">
        <v>0</v>
      </c>
      <c r="R29" s="13" t="s">
        <v>264</v>
      </c>
      <c r="T29" s="13">
        <v>1</v>
      </c>
      <c r="U29" s="13">
        <v>1</v>
      </c>
      <c r="W29" s="13" t="s">
        <v>265</v>
      </c>
      <c r="Y29" s="13">
        <v>200</v>
      </c>
      <c r="Z29" s="16" t="s">
        <v>266</v>
      </c>
      <c r="AB29" s="13">
        <v>0</v>
      </c>
      <c r="AD29" s="14">
        <v>28</v>
      </c>
      <c r="AE29" s="14">
        <v>12</v>
      </c>
      <c r="AF29" s="14" t="s">
        <v>221</v>
      </c>
      <c r="AG29" s="14" t="s">
        <v>242</v>
      </c>
      <c r="AH29" s="14">
        <v>0</v>
      </c>
      <c r="AI29" s="15">
        <v>200</v>
      </c>
      <c r="AJ29" s="14">
        <v>1</v>
      </c>
      <c r="AK29" s="14">
        <v>1</v>
      </c>
      <c r="AL29" s="14" t="s">
        <v>267</v>
      </c>
      <c r="AO29" s="13">
        <v>1</v>
      </c>
      <c r="AP29" s="13">
        <v>0</v>
      </c>
      <c r="AR29" s="13" t="s">
        <v>268</v>
      </c>
      <c r="AS29" s="13" t="s">
        <v>269</v>
      </c>
      <c r="AT29" s="13">
        <v>1</v>
      </c>
      <c r="AU29" s="13">
        <v>1</v>
      </c>
      <c r="AV29" s="13">
        <v>2.5</v>
      </c>
      <c r="AW29" s="13" t="s">
        <v>270</v>
      </c>
      <c r="AX29" s="14" t="s">
        <v>271</v>
      </c>
      <c r="AY29" s="13">
        <v>200</v>
      </c>
      <c r="AZ29" s="16" t="s">
        <v>272</v>
      </c>
    </row>
    <row r="30" spans="1:52" ht="22.5" customHeight="1" x14ac:dyDescent="0.35">
      <c r="A30" s="19" t="s">
        <v>26</v>
      </c>
      <c r="B30" s="13" t="s">
        <v>0</v>
      </c>
      <c r="C30" s="13">
        <v>2023</v>
      </c>
      <c r="D30" s="13">
        <f>1388800/2825627*100</f>
        <v>49.150153222629875</v>
      </c>
      <c r="E30" s="13">
        <v>4</v>
      </c>
      <c r="F30" s="13">
        <v>1</v>
      </c>
      <c r="G30" s="13">
        <v>100</v>
      </c>
      <c r="H30" s="13">
        <v>0</v>
      </c>
      <c r="I30" s="13">
        <f>140*1.24</f>
        <v>173.6</v>
      </c>
      <c r="J30" s="13">
        <v>1</v>
      </c>
      <c r="K30" s="13">
        <v>1</v>
      </c>
      <c r="O30" s="13">
        <v>1</v>
      </c>
      <c r="P30" s="13">
        <v>0</v>
      </c>
      <c r="R30" s="13" t="s">
        <v>273</v>
      </c>
      <c r="T30" s="13">
        <v>1</v>
      </c>
      <c r="U30" s="13">
        <v>1</v>
      </c>
      <c r="Y30" s="13">
        <v>180</v>
      </c>
      <c r="Z30" s="16" t="s">
        <v>274</v>
      </c>
      <c r="AB30" s="13">
        <v>0</v>
      </c>
      <c r="AD30" s="13">
        <f>636827/2825627*100</f>
        <v>22.537546533919727</v>
      </c>
      <c r="AE30" s="14">
        <v>0</v>
      </c>
      <c r="AF30" s="14"/>
      <c r="AG30" s="14">
        <v>0</v>
      </c>
      <c r="AH30" s="14">
        <v>0</v>
      </c>
      <c r="AI30" s="15">
        <v>148</v>
      </c>
      <c r="AJ30" s="14">
        <v>0</v>
      </c>
      <c r="AK30" s="14">
        <v>0</v>
      </c>
      <c r="AL30" s="14"/>
      <c r="AO30" s="13">
        <v>0</v>
      </c>
      <c r="AP30" s="13">
        <v>0</v>
      </c>
      <c r="AT30" s="13">
        <v>0</v>
      </c>
      <c r="AU30" s="13">
        <v>0</v>
      </c>
      <c r="AY30" s="13">
        <v>200</v>
      </c>
      <c r="AZ30" s="13" t="s">
        <v>275</v>
      </c>
    </row>
    <row r="31" spans="1:52" x14ac:dyDescent="0.35">
      <c r="A31" s="19" t="s">
        <v>27</v>
      </c>
      <c r="B31" s="13" t="s">
        <v>0</v>
      </c>
      <c r="C31" s="13">
        <v>2023</v>
      </c>
      <c r="D31" s="13">
        <v>18.8</v>
      </c>
      <c r="E31" s="13">
        <v>0</v>
      </c>
      <c r="G31" s="13">
        <v>0</v>
      </c>
      <c r="H31" s="13">
        <v>1</v>
      </c>
      <c r="I31" s="13">
        <f>138*1.2</f>
        <v>165.6</v>
      </c>
      <c r="J31" s="13">
        <v>0</v>
      </c>
      <c r="K31" s="13">
        <v>0</v>
      </c>
      <c r="O31" s="13">
        <v>0</v>
      </c>
      <c r="P31" s="13">
        <v>0</v>
      </c>
      <c r="T31" s="13">
        <v>0</v>
      </c>
      <c r="U31" s="13">
        <v>0</v>
      </c>
      <c r="Y31" s="13">
        <v>150</v>
      </c>
      <c r="Z31" s="13" t="s">
        <v>276</v>
      </c>
      <c r="AB31" s="13">
        <v>0</v>
      </c>
      <c r="AD31" s="13">
        <v>28.2</v>
      </c>
      <c r="AE31" s="14">
        <v>0</v>
      </c>
      <c r="AF31" s="14"/>
      <c r="AG31" s="14">
        <v>0</v>
      </c>
      <c r="AH31" s="14">
        <v>1</v>
      </c>
      <c r="AI31" s="14">
        <f>138*1.2</f>
        <v>165.6</v>
      </c>
      <c r="AJ31" s="14">
        <v>0</v>
      </c>
      <c r="AK31" s="14">
        <v>0</v>
      </c>
      <c r="AL31" s="14"/>
      <c r="AO31" s="13">
        <v>0</v>
      </c>
      <c r="AP31" s="13">
        <v>0</v>
      </c>
      <c r="AT31" s="13">
        <v>0</v>
      </c>
      <c r="AU31" s="13">
        <v>0</v>
      </c>
      <c r="AY31" s="13">
        <v>150</v>
      </c>
      <c r="AZ31" s="13" t="s">
        <v>277</v>
      </c>
    </row>
    <row r="32" spans="1:52" ht="25.5" customHeight="1" x14ac:dyDescent="0.35">
      <c r="A32" s="19" t="s">
        <v>28</v>
      </c>
      <c r="B32" s="13" t="s">
        <v>0</v>
      </c>
      <c r="C32" s="13">
        <v>2023</v>
      </c>
      <c r="D32" s="14">
        <f>780354/(1792174+199700)*100</f>
        <v>39.17687564574868</v>
      </c>
      <c r="E32" s="13">
        <v>3</v>
      </c>
      <c r="F32" s="13">
        <v>2</v>
      </c>
      <c r="G32" s="13">
        <f>20*0.25</f>
        <v>5</v>
      </c>
      <c r="H32" s="13">
        <v>0</v>
      </c>
      <c r="I32" s="13">
        <v>73</v>
      </c>
      <c r="J32" s="13">
        <v>1</v>
      </c>
      <c r="K32" s="13">
        <v>0</v>
      </c>
      <c r="M32" s="13" t="s">
        <v>278</v>
      </c>
      <c r="N32" s="13">
        <f>0.2*25/3</f>
        <v>1.6666666666666667</v>
      </c>
      <c r="O32" s="13">
        <v>1</v>
      </c>
      <c r="P32" s="13">
        <v>0</v>
      </c>
      <c r="R32" s="13" t="s">
        <v>279</v>
      </c>
      <c r="S32" s="14" t="s">
        <v>280</v>
      </c>
      <c r="T32" s="13">
        <v>1</v>
      </c>
      <c r="U32" s="13">
        <v>0</v>
      </c>
      <c r="W32" s="13" t="s">
        <v>281</v>
      </c>
      <c r="X32" s="13">
        <f>0.2*25/3</f>
        <v>1.6666666666666667</v>
      </c>
      <c r="Y32" s="13">
        <v>155</v>
      </c>
      <c r="Z32" s="13" t="s">
        <v>282</v>
      </c>
      <c r="AB32" s="13">
        <v>0</v>
      </c>
      <c r="AD32" s="14">
        <f>199700/(1792174+199700)*100</f>
        <v>10.02573455951531</v>
      </c>
      <c r="AE32" s="14">
        <v>0</v>
      </c>
      <c r="AF32" s="14"/>
      <c r="AG32" s="14">
        <v>0</v>
      </c>
      <c r="AH32" s="14">
        <v>0</v>
      </c>
      <c r="AI32" s="15" t="s">
        <v>178</v>
      </c>
      <c r="AJ32" s="14">
        <v>0</v>
      </c>
      <c r="AK32" s="14">
        <v>0</v>
      </c>
      <c r="AL32" s="14"/>
      <c r="AO32" s="13">
        <v>0</v>
      </c>
      <c r="AP32" s="13">
        <v>0</v>
      </c>
      <c r="AT32" s="13">
        <v>0</v>
      </c>
      <c r="AU32" s="13">
        <v>0</v>
      </c>
      <c r="AY32" s="13">
        <v>200</v>
      </c>
      <c r="AZ32" s="16" t="s">
        <v>283</v>
      </c>
    </row>
    <row r="33" spans="1:52" x14ac:dyDescent="0.35">
      <c r="A33" s="19" t="s">
        <v>29</v>
      </c>
      <c r="B33" s="13" t="s">
        <v>0</v>
      </c>
      <c r="C33" s="13">
        <v>2023</v>
      </c>
      <c r="D33" s="14">
        <v>19</v>
      </c>
      <c r="E33" s="13">
        <v>2</v>
      </c>
      <c r="F33" s="13">
        <v>2</v>
      </c>
      <c r="G33" s="13">
        <v>20</v>
      </c>
      <c r="H33" s="13">
        <v>0</v>
      </c>
      <c r="I33" s="13">
        <v>185</v>
      </c>
      <c r="J33" s="13">
        <v>1</v>
      </c>
      <c r="K33" s="13">
        <v>1</v>
      </c>
      <c r="L33" s="13">
        <v>10</v>
      </c>
      <c r="O33" s="13">
        <v>0</v>
      </c>
      <c r="P33" s="13">
        <v>0</v>
      </c>
      <c r="T33" s="13">
        <v>1</v>
      </c>
      <c r="U33" s="13">
        <v>1</v>
      </c>
      <c r="V33" s="13">
        <v>10</v>
      </c>
      <c r="Y33" s="13">
        <v>250</v>
      </c>
      <c r="Z33" s="13" t="s">
        <v>284</v>
      </c>
      <c r="AB33" s="13">
        <v>0</v>
      </c>
      <c r="AD33" s="14">
        <v>37</v>
      </c>
      <c r="AE33" s="14">
        <v>2</v>
      </c>
      <c r="AF33" s="14">
        <v>2</v>
      </c>
      <c r="AG33" s="14">
        <v>20</v>
      </c>
      <c r="AH33" s="14">
        <v>0</v>
      </c>
      <c r="AI33" s="15" t="s">
        <v>178</v>
      </c>
      <c r="AJ33" s="14">
        <v>1</v>
      </c>
      <c r="AK33" s="14">
        <v>1</v>
      </c>
      <c r="AL33" s="14">
        <f>20/2</f>
        <v>10</v>
      </c>
      <c r="AO33" s="13">
        <v>1</v>
      </c>
      <c r="AP33" s="13">
        <v>0</v>
      </c>
      <c r="AR33" s="13" t="s">
        <v>285</v>
      </c>
      <c r="AS33" s="13">
        <f>20/2</f>
        <v>10</v>
      </c>
      <c r="AT33" s="13">
        <v>0</v>
      </c>
      <c r="AU33" s="13">
        <v>0</v>
      </c>
      <c r="AY33" s="13">
        <v>250</v>
      </c>
      <c r="AZ33" s="13" t="s">
        <v>286</v>
      </c>
    </row>
    <row r="34" spans="1:52" ht="24.75" customHeight="1" x14ac:dyDescent="0.35">
      <c r="A34" s="19" t="s">
        <v>30</v>
      </c>
      <c r="B34" s="13" t="s">
        <v>0</v>
      </c>
      <c r="C34" s="13">
        <v>2023</v>
      </c>
      <c r="D34" s="14">
        <v>25</v>
      </c>
      <c r="E34" s="13">
        <v>9</v>
      </c>
      <c r="F34" s="13">
        <v>1</v>
      </c>
      <c r="G34" s="13">
        <v>66.67</v>
      </c>
      <c r="H34" s="13">
        <v>1</v>
      </c>
      <c r="I34" s="13">
        <f>150*1.2</f>
        <v>180</v>
      </c>
      <c r="J34" s="13">
        <v>1</v>
      </c>
      <c r="K34" s="13">
        <v>0</v>
      </c>
      <c r="M34" s="16" t="s">
        <v>287</v>
      </c>
      <c r="O34" s="13">
        <v>1</v>
      </c>
      <c r="P34" s="13">
        <v>1</v>
      </c>
      <c r="R34" s="13" t="s">
        <v>288</v>
      </c>
      <c r="T34" s="13">
        <v>1</v>
      </c>
      <c r="U34" s="13">
        <v>1</v>
      </c>
      <c r="V34" s="13">
        <v>1</v>
      </c>
      <c r="Y34" s="13">
        <v>180</v>
      </c>
      <c r="Z34" s="16" t="s">
        <v>289</v>
      </c>
      <c r="AB34" s="13">
        <v>0</v>
      </c>
      <c r="AD34" s="14">
        <v>40</v>
      </c>
      <c r="AE34" s="14">
        <v>1</v>
      </c>
      <c r="AF34" s="14">
        <v>2</v>
      </c>
      <c r="AG34" s="14">
        <v>33.33</v>
      </c>
      <c r="AH34" s="14">
        <v>0</v>
      </c>
      <c r="AI34" s="15">
        <v>117</v>
      </c>
      <c r="AJ34" s="14">
        <v>1</v>
      </c>
      <c r="AK34" s="14">
        <v>1</v>
      </c>
      <c r="AL34" s="14">
        <v>33.33</v>
      </c>
      <c r="AO34" s="13">
        <v>0</v>
      </c>
      <c r="AP34" s="13">
        <v>0</v>
      </c>
      <c r="AT34" s="13">
        <v>0</v>
      </c>
      <c r="AU34" s="13">
        <v>0</v>
      </c>
      <c r="AY34" s="13">
        <v>200</v>
      </c>
      <c r="AZ34" s="13" t="s">
        <v>290</v>
      </c>
    </row>
    <row r="35" spans="1:52" x14ac:dyDescent="0.35">
      <c r="A35" s="19" t="s">
        <v>31</v>
      </c>
      <c r="B35" s="13" t="s">
        <v>0</v>
      </c>
      <c r="C35" s="13">
        <v>2023</v>
      </c>
      <c r="D35" s="14">
        <f>(20+30)/2</f>
        <v>25</v>
      </c>
      <c r="E35" s="13">
        <v>3</v>
      </c>
      <c r="F35" s="13">
        <v>2</v>
      </c>
      <c r="G35" s="13">
        <v>20</v>
      </c>
      <c r="H35" s="13">
        <v>0</v>
      </c>
      <c r="I35" s="13">
        <v>115.1</v>
      </c>
      <c r="J35" s="13">
        <v>1</v>
      </c>
      <c r="K35" s="13">
        <v>1</v>
      </c>
      <c r="L35" s="13">
        <v>6.67</v>
      </c>
      <c r="O35" s="13">
        <v>1</v>
      </c>
      <c r="P35" s="13">
        <v>1</v>
      </c>
      <c r="R35" s="13" t="s">
        <v>291</v>
      </c>
      <c r="S35" s="13">
        <v>6.67</v>
      </c>
      <c r="T35" s="13">
        <v>0</v>
      </c>
      <c r="U35" s="13">
        <v>0</v>
      </c>
      <c r="Y35" s="13">
        <v>140</v>
      </c>
      <c r="Z35" s="13" t="s">
        <v>292</v>
      </c>
      <c r="AB35" s="13">
        <v>0</v>
      </c>
      <c r="AD35" s="14">
        <f>(50+70)/2</f>
        <v>60</v>
      </c>
      <c r="AE35" s="14">
        <v>0</v>
      </c>
      <c r="AF35" s="14">
        <v>2</v>
      </c>
      <c r="AG35" s="14">
        <v>0</v>
      </c>
      <c r="AH35" s="14">
        <v>0</v>
      </c>
      <c r="AI35" s="15">
        <f>(57.61+62.02+55.41)/3</f>
        <v>58.346666666666664</v>
      </c>
      <c r="AJ35" s="14">
        <v>0</v>
      </c>
      <c r="AK35" s="14">
        <v>0</v>
      </c>
      <c r="AL35" s="14"/>
      <c r="AO35" s="13">
        <v>0</v>
      </c>
      <c r="AP35" s="13">
        <v>0</v>
      </c>
      <c r="AT35" s="13">
        <v>0</v>
      </c>
      <c r="AU35" s="13">
        <v>0</v>
      </c>
      <c r="AY35" s="13">
        <v>200</v>
      </c>
      <c r="AZ35" s="13" t="s">
        <v>293</v>
      </c>
    </row>
    <row r="36" spans="1:52" x14ac:dyDescent="0.35">
      <c r="A36" s="19" t="s">
        <v>32</v>
      </c>
      <c r="B36" s="13" t="s">
        <v>0</v>
      </c>
      <c r="C36" s="13">
        <v>2023</v>
      </c>
      <c r="D36" s="14">
        <f>640/(640+700+175+175+350+1000)*100</f>
        <v>21.052631578947366</v>
      </c>
      <c r="E36" s="13">
        <v>1</v>
      </c>
      <c r="F36" s="13">
        <v>2</v>
      </c>
      <c r="G36" s="13">
        <v>10</v>
      </c>
      <c r="H36" s="13">
        <v>0</v>
      </c>
      <c r="I36" s="13">
        <v>0</v>
      </c>
      <c r="J36" s="13">
        <v>0</v>
      </c>
      <c r="K36" s="13">
        <v>0</v>
      </c>
      <c r="O36" s="13">
        <v>1</v>
      </c>
      <c r="P36" s="13">
        <v>1</v>
      </c>
      <c r="Q36" s="13">
        <v>10</v>
      </c>
      <c r="T36" s="13">
        <v>0</v>
      </c>
      <c r="U36" s="13">
        <v>0</v>
      </c>
      <c r="Y36" s="13">
        <v>120</v>
      </c>
      <c r="Z36" s="13" t="s">
        <v>294</v>
      </c>
      <c r="AB36" s="13">
        <v>0</v>
      </c>
      <c r="AD36" s="14">
        <f>700/(640+700+175+175+350+1000)*100</f>
        <v>23.026315789473685</v>
      </c>
      <c r="AE36" s="14">
        <v>1</v>
      </c>
      <c r="AF36" s="14">
        <v>2</v>
      </c>
      <c r="AG36" s="14">
        <v>25</v>
      </c>
      <c r="AH36" s="14">
        <v>0</v>
      </c>
      <c r="AI36" s="14">
        <f>708/700*100</f>
        <v>101.14285714285714</v>
      </c>
      <c r="AJ36" s="14">
        <v>1</v>
      </c>
      <c r="AK36" s="14">
        <v>1</v>
      </c>
      <c r="AL36" s="14">
        <v>25</v>
      </c>
      <c r="AO36" s="13">
        <v>0</v>
      </c>
      <c r="AP36" s="13">
        <v>0</v>
      </c>
      <c r="AT36" s="13">
        <v>0</v>
      </c>
      <c r="AU36" s="13">
        <v>0</v>
      </c>
      <c r="AY36" s="13">
        <f>0.5*120+0.5*250</f>
        <v>185</v>
      </c>
      <c r="AZ36" s="13" t="s">
        <v>295</v>
      </c>
    </row>
    <row r="37" spans="1:52" ht="27.75" customHeight="1" x14ac:dyDescent="0.35">
      <c r="A37" s="19" t="s">
        <v>33</v>
      </c>
      <c r="B37" s="13" t="s">
        <v>0</v>
      </c>
      <c r="C37" s="13">
        <v>2023</v>
      </c>
      <c r="D37" s="14">
        <f>(20+28)/2</f>
        <v>24</v>
      </c>
      <c r="E37" s="13">
        <v>2</v>
      </c>
      <c r="F37" s="13">
        <v>2</v>
      </c>
      <c r="G37" s="13">
        <f>33.33/4</f>
        <v>8.3324999999999996</v>
      </c>
      <c r="H37" s="13">
        <v>1</v>
      </c>
      <c r="I37" s="13">
        <v>185.1</v>
      </c>
      <c r="J37" s="13">
        <v>1</v>
      </c>
      <c r="K37" s="13">
        <v>0</v>
      </c>
      <c r="M37" s="16" t="s">
        <v>296</v>
      </c>
      <c r="N37" s="14" t="s">
        <v>297</v>
      </c>
      <c r="O37" s="13">
        <v>0</v>
      </c>
      <c r="P37" s="13">
        <v>0</v>
      </c>
      <c r="T37" s="13">
        <v>0</v>
      </c>
      <c r="U37" s="13">
        <v>0</v>
      </c>
      <c r="Y37" s="13">
        <v>200</v>
      </c>
      <c r="Z37" s="16" t="s">
        <v>298</v>
      </c>
      <c r="AB37" s="13">
        <v>0</v>
      </c>
      <c r="AD37" s="14">
        <f>(30+42)/2</f>
        <v>36</v>
      </c>
      <c r="AE37" s="14">
        <v>3</v>
      </c>
      <c r="AF37" s="14">
        <v>2</v>
      </c>
      <c r="AG37" s="14">
        <v>20</v>
      </c>
      <c r="AH37" s="14">
        <v>0</v>
      </c>
      <c r="AI37" s="15">
        <v>91</v>
      </c>
      <c r="AJ37" s="14">
        <v>1</v>
      </c>
      <c r="AK37" s="14">
        <v>1</v>
      </c>
      <c r="AL37" s="14">
        <f>20/3</f>
        <v>6.666666666666667</v>
      </c>
      <c r="AO37" s="13">
        <v>1</v>
      </c>
      <c r="AP37" s="13">
        <v>0</v>
      </c>
      <c r="AR37" s="13" t="s">
        <v>299</v>
      </c>
      <c r="AS37" s="13" t="s">
        <v>300</v>
      </c>
      <c r="AT37" s="13">
        <v>0</v>
      </c>
      <c r="AU37" s="13">
        <v>0</v>
      </c>
      <c r="AY37" s="13">
        <v>200</v>
      </c>
      <c r="AZ37" s="13" t="s">
        <v>301</v>
      </c>
    </row>
    <row r="38" spans="1:52" ht="29" x14ac:dyDescent="0.35">
      <c r="A38" s="19" t="s">
        <v>34</v>
      </c>
      <c r="B38" s="13" t="s">
        <v>0</v>
      </c>
      <c r="C38" s="13">
        <v>2023</v>
      </c>
      <c r="D38" s="13">
        <v>37.9</v>
      </c>
      <c r="E38" s="13">
        <v>3</v>
      </c>
      <c r="F38" s="13">
        <v>2</v>
      </c>
      <c r="G38" s="13">
        <f>3/4*33.33</f>
        <v>24.997499999999999</v>
      </c>
      <c r="H38" s="13">
        <v>1</v>
      </c>
      <c r="I38" s="13">
        <v>84.16</v>
      </c>
      <c r="J38" s="13">
        <v>0</v>
      </c>
      <c r="K38" s="13">
        <v>0</v>
      </c>
      <c r="O38" s="13">
        <v>1</v>
      </c>
      <c r="P38" s="13">
        <v>0</v>
      </c>
      <c r="R38" s="13" t="s">
        <v>302</v>
      </c>
      <c r="S38" s="13" t="s">
        <v>303</v>
      </c>
      <c r="T38" s="13">
        <v>0</v>
      </c>
      <c r="U38" s="13">
        <v>0</v>
      </c>
      <c r="Y38" s="13">
        <v>150</v>
      </c>
      <c r="Z38" s="13" t="s">
        <v>304</v>
      </c>
      <c r="AB38" s="13">
        <v>0</v>
      </c>
      <c r="AD38" s="13">
        <v>37.9</v>
      </c>
      <c r="AE38" s="14">
        <v>3</v>
      </c>
      <c r="AF38" s="14">
        <v>2</v>
      </c>
      <c r="AG38" s="14">
        <v>20</v>
      </c>
      <c r="AH38" s="14">
        <v>0</v>
      </c>
      <c r="AI38" s="15">
        <v>72</v>
      </c>
      <c r="AJ38" s="14">
        <v>1</v>
      </c>
      <c r="AK38" s="14">
        <v>1</v>
      </c>
      <c r="AL38" s="14">
        <v>6.67</v>
      </c>
      <c r="AO38" s="13">
        <v>1</v>
      </c>
      <c r="AP38" s="13">
        <v>1</v>
      </c>
      <c r="AQ38" s="13">
        <v>6.67</v>
      </c>
      <c r="AR38" s="13" t="s">
        <v>281</v>
      </c>
      <c r="AS38" s="13">
        <v>6.67</v>
      </c>
      <c r="AT38" s="13">
        <v>1</v>
      </c>
      <c r="AU38" s="13">
        <v>0</v>
      </c>
      <c r="AW38" s="20" t="s">
        <v>281</v>
      </c>
      <c r="AX38" s="13">
        <v>6.67</v>
      </c>
      <c r="AY38" s="13">
        <v>250</v>
      </c>
      <c r="AZ38" s="16" t="s">
        <v>305</v>
      </c>
    </row>
    <row r="39" spans="1:52" x14ac:dyDescent="0.35">
      <c r="A39" s="19" t="s">
        <v>35</v>
      </c>
      <c r="B39" s="13" t="s">
        <v>0</v>
      </c>
      <c r="C39" s="13">
        <v>2023</v>
      </c>
      <c r="D39" s="13">
        <v>21</v>
      </c>
      <c r="E39" s="13">
        <v>1</v>
      </c>
      <c r="F39" s="13">
        <v>2</v>
      </c>
      <c r="G39" s="13">
        <f>11.11</f>
        <v>11.11</v>
      </c>
      <c r="H39" s="13">
        <v>1</v>
      </c>
      <c r="I39" s="13">
        <v>119</v>
      </c>
      <c r="J39" s="13">
        <v>0</v>
      </c>
      <c r="K39" s="13">
        <v>0</v>
      </c>
      <c r="M39" s="16"/>
      <c r="O39" s="13">
        <v>0</v>
      </c>
      <c r="P39" s="13">
        <v>0</v>
      </c>
      <c r="T39" s="13">
        <v>0</v>
      </c>
      <c r="U39" s="13">
        <v>0</v>
      </c>
      <c r="Y39" s="13">
        <v>200</v>
      </c>
      <c r="Z39" s="13" t="s">
        <v>306</v>
      </c>
      <c r="AB39" s="13">
        <v>0</v>
      </c>
      <c r="AD39" s="13">
        <v>45</v>
      </c>
      <c r="AE39" s="14">
        <v>3</v>
      </c>
      <c r="AF39" s="14">
        <v>2</v>
      </c>
      <c r="AG39" s="14">
        <v>25</v>
      </c>
      <c r="AH39" s="14">
        <v>0</v>
      </c>
      <c r="AI39" s="15">
        <v>183.87</v>
      </c>
      <c r="AJ39" s="14">
        <v>1</v>
      </c>
      <c r="AK39" s="14">
        <v>1</v>
      </c>
      <c r="AL39" s="14">
        <f>25/3</f>
        <v>8.3333333333333339</v>
      </c>
      <c r="AO39" s="13">
        <v>1</v>
      </c>
      <c r="AP39" s="13">
        <v>0</v>
      </c>
      <c r="AR39" s="13" t="s">
        <v>307</v>
      </c>
      <c r="AS39" s="13" t="s">
        <v>308</v>
      </c>
      <c r="AT39" s="13">
        <v>0</v>
      </c>
      <c r="AU39" s="13">
        <v>0</v>
      </c>
      <c r="AY39" s="13">
        <v>300</v>
      </c>
      <c r="AZ39" s="13" t="s">
        <v>309</v>
      </c>
    </row>
    <row r="40" spans="1:52" ht="25.5" customHeight="1" x14ac:dyDescent="0.35">
      <c r="A40" s="19" t="s">
        <v>36</v>
      </c>
      <c r="B40" s="13" t="s">
        <v>0</v>
      </c>
      <c r="C40" s="13">
        <v>2023</v>
      </c>
      <c r="D40" s="14">
        <v>30</v>
      </c>
      <c r="E40" s="13">
        <v>1</v>
      </c>
      <c r="F40" s="13">
        <v>2</v>
      </c>
      <c r="G40" s="13">
        <v>10</v>
      </c>
      <c r="H40" s="13">
        <v>1</v>
      </c>
      <c r="I40" s="13">
        <v>69.2</v>
      </c>
      <c r="J40" s="13">
        <v>1</v>
      </c>
      <c r="K40" s="13">
        <v>1</v>
      </c>
      <c r="L40" s="13">
        <v>10</v>
      </c>
      <c r="O40" s="13">
        <v>0</v>
      </c>
      <c r="P40" s="13">
        <v>0</v>
      </c>
      <c r="T40" s="13">
        <v>0</v>
      </c>
      <c r="U40" s="13">
        <v>0</v>
      </c>
      <c r="Y40" s="13">
        <v>150</v>
      </c>
      <c r="Z40" s="16" t="s">
        <v>310</v>
      </c>
      <c r="AB40" s="13">
        <v>0</v>
      </c>
      <c r="AD40" s="14">
        <v>40</v>
      </c>
      <c r="AE40" s="14">
        <v>1</v>
      </c>
      <c r="AF40" s="14">
        <v>2</v>
      </c>
      <c r="AG40" s="14">
        <v>20</v>
      </c>
      <c r="AH40" s="14">
        <v>0</v>
      </c>
      <c r="AI40" s="15">
        <v>106.5</v>
      </c>
      <c r="AJ40" s="14">
        <v>1</v>
      </c>
      <c r="AK40" s="14">
        <v>0</v>
      </c>
      <c r="AL40" s="14"/>
      <c r="AM40" s="16" t="s">
        <v>311</v>
      </c>
      <c r="AN40" s="13">
        <v>20</v>
      </c>
      <c r="AO40" s="13">
        <v>0</v>
      </c>
      <c r="AP40" s="13">
        <v>0</v>
      </c>
      <c r="AT40" s="13">
        <v>0</v>
      </c>
      <c r="AU40" s="13">
        <v>0</v>
      </c>
      <c r="AY40" s="13">
        <v>200</v>
      </c>
      <c r="AZ40" s="16" t="s">
        <v>312</v>
      </c>
    </row>
    <row r="41" spans="1:52" x14ac:dyDescent="0.35">
      <c r="A41" s="19" t="s">
        <v>37</v>
      </c>
      <c r="B41" s="13" t="s">
        <v>0</v>
      </c>
      <c r="C41" s="13">
        <v>2023</v>
      </c>
      <c r="D41" s="13">
        <f>26.6+15.9</f>
        <v>42.5</v>
      </c>
      <c r="E41" s="13">
        <v>4</v>
      </c>
      <c r="F41" s="13">
        <v>1</v>
      </c>
      <c r="G41" s="13">
        <v>100</v>
      </c>
      <c r="H41" s="13">
        <v>0</v>
      </c>
      <c r="I41" s="13">
        <f>((132+113)/2)*((0.9+1.3)*0.5)</f>
        <v>134.75</v>
      </c>
      <c r="J41" s="13">
        <v>1</v>
      </c>
      <c r="K41" s="13">
        <v>1</v>
      </c>
      <c r="O41" s="13">
        <v>1</v>
      </c>
      <c r="P41" s="13">
        <v>1</v>
      </c>
      <c r="R41" s="13" t="s">
        <v>313</v>
      </c>
      <c r="T41" s="13">
        <v>1</v>
      </c>
      <c r="U41" s="13">
        <v>1</v>
      </c>
      <c r="Y41" s="13">
        <v>200</v>
      </c>
      <c r="Z41" s="13" t="s">
        <v>314</v>
      </c>
      <c r="AB41" s="13">
        <v>0</v>
      </c>
      <c r="AD41" s="13">
        <v>21.9</v>
      </c>
      <c r="AE41" s="14">
        <v>0</v>
      </c>
      <c r="AF41" s="14"/>
      <c r="AG41" s="14">
        <v>0</v>
      </c>
      <c r="AH41" s="14">
        <v>0</v>
      </c>
      <c r="AI41" s="15">
        <v>150</v>
      </c>
      <c r="AJ41" s="14">
        <v>0</v>
      </c>
      <c r="AK41" s="14">
        <v>0</v>
      </c>
      <c r="AL41" s="14"/>
      <c r="AO41" s="13">
        <v>0</v>
      </c>
      <c r="AP41" s="13">
        <v>0</v>
      </c>
      <c r="AT41" s="13">
        <v>0</v>
      </c>
      <c r="AU41" s="13">
        <v>0</v>
      </c>
      <c r="AY41" s="13">
        <v>250</v>
      </c>
      <c r="AZ41" s="13" t="s">
        <v>315</v>
      </c>
    </row>
    <row r="42" spans="1:52" ht="23.25" customHeight="1" x14ac:dyDescent="0.35">
      <c r="A42" s="19" t="s">
        <v>38</v>
      </c>
      <c r="B42" s="13" t="s">
        <v>0</v>
      </c>
      <c r="C42" s="13">
        <v>2023</v>
      </c>
      <c r="D42" s="14">
        <v>20</v>
      </c>
      <c r="E42" s="13">
        <v>0</v>
      </c>
      <c r="G42" s="13">
        <v>0</v>
      </c>
      <c r="H42" s="13">
        <v>0</v>
      </c>
      <c r="I42" s="13">
        <v>68.3</v>
      </c>
      <c r="J42" s="13">
        <v>0</v>
      </c>
      <c r="K42" s="13">
        <v>0</v>
      </c>
      <c r="O42" s="13">
        <v>0</v>
      </c>
      <c r="P42" s="13">
        <v>0</v>
      </c>
      <c r="T42" s="13">
        <v>0</v>
      </c>
      <c r="U42" s="13">
        <v>0</v>
      </c>
      <c r="Y42" s="13">
        <v>125</v>
      </c>
      <c r="Z42" s="13" t="s">
        <v>316</v>
      </c>
      <c r="AB42" s="13">
        <v>0</v>
      </c>
      <c r="AD42" s="14">
        <v>50</v>
      </c>
      <c r="AE42" s="14">
        <v>6</v>
      </c>
      <c r="AF42" s="14">
        <v>2</v>
      </c>
      <c r="AG42" s="14">
        <v>25</v>
      </c>
      <c r="AH42" s="14">
        <v>0</v>
      </c>
      <c r="AI42" s="15">
        <v>106.78</v>
      </c>
      <c r="AJ42" s="14">
        <v>1</v>
      </c>
      <c r="AK42" s="13">
        <v>0</v>
      </c>
      <c r="AM42" s="16" t="s">
        <v>317</v>
      </c>
      <c r="AN42" s="13" t="s">
        <v>297</v>
      </c>
      <c r="AO42" s="13">
        <v>1</v>
      </c>
      <c r="AP42" s="13">
        <v>1</v>
      </c>
      <c r="AQ42" s="13">
        <v>4.1660000000000004</v>
      </c>
      <c r="AR42" s="13" t="s">
        <v>318</v>
      </c>
      <c r="AS42" s="13" t="s">
        <v>319</v>
      </c>
      <c r="AT42" s="13">
        <v>1</v>
      </c>
      <c r="AU42" s="13">
        <v>0</v>
      </c>
      <c r="AW42" s="13" t="s">
        <v>320</v>
      </c>
      <c r="AX42" s="13">
        <f>25/6</f>
        <v>4.166666666666667</v>
      </c>
      <c r="AY42" s="13">
        <v>200</v>
      </c>
      <c r="AZ42" s="16" t="s">
        <v>321</v>
      </c>
    </row>
    <row r="43" spans="1:52" ht="34.5" customHeight="1" x14ac:dyDescent="0.35">
      <c r="A43" s="19" t="s">
        <v>39</v>
      </c>
      <c r="B43" s="13" t="s">
        <v>0</v>
      </c>
      <c r="C43" s="13">
        <v>2023</v>
      </c>
      <c r="D43" s="14">
        <v>0</v>
      </c>
      <c r="E43" s="14">
        <v>0</v>
      </c>
      <c r="F43" s="14"/>
      <c r="G43" s="13">
        <v>0</v>
      </c>
      <c r="H43" s="13">
        <v>0</v>
      </c>
      <c r="I43" s="13">
        <v>0</v>
      </c>
      <c r="J43" s="13">
        <v>0</v>
      </c>
      <c r="K43" s="13">
        <v>0</v>
      </c>
      <c r="O43" s="13">
        <v>0</v>
      </c>
      <c r="P43" s="13">
        <v>0</v>
      </c>
      <c r="T43" s="13">
        <v>0</v>
      </c>
      <c r="U43" s="13">
        <v>0</v>
      </c>
      <c r="Z43" s="13" t="s">
        <v>322</v>
      </c>
      <c r="AB43" s="13">
        <v>0</v>
      </c>
      <c r="AD43" s="14">
        <v>60</v>
      </c>
      <c r="AE43" s="14">
        <v>9</v>
      </c>
      <c r="AF43" s="14">
        <v>1</v>
      </c>
      <c r="AG43" s="14">
        <v>100</v>
      </c>
      <c r="AH43" s="14">
        <v>0</v>
      </c>
      <c r="AI43" s="15">
        <v>100</v>
      </c>
      <c r="AJ43" s="14">
        <v>1</v>
      </c>
      <c r="AK43" s="13">
        <v>1</v>
      </c>
      <c r="AO43" s="13">
        <v>1</v>
      </c>
      <c r="AP43" s="13">
        <v>0</v>
      </c>
      <c r="AR43" s="13" t="s">
        <v>250</v>
      </c>
      <c r="AT43" s="13">
        <v>1</v>
      </c>
      <c r="AU43" s="13">
        <v>0</v>
      </c>
      <c r="AW43" s="13" t="s">
        <v>250</v>
      </c>
      <c r="AY43" s="13">
        <v>225</v>
      </c>
      <c r="AZ43" s="16" t="s">
        <v>323</v>
      </c>
    </row>
    <row r="44" spans="1:52" hidden="1" x14ac:dyDescent="0.35">
      <c r="A44" s="13" t="s">
        <v>40</v>
      </c>
      <c r="B44" s="13" t="s">
        <v>41</v>
      </c>
      <c r="C44" s="13">
        <v>2023</v>
      </c>
      <c r="D44" s="14">
        <f>1576/4278*100</f>
        <v>36.839644693782141</v>
      </c>
      <c r="E44" s="13">
        <v>0</v>
      </c>
      <c r="G44" s="13">
        <v>0</v>
      </c>
      <c r="H44" s="13">
        <v>0</v>
      </c>
      <c r="I44" s="13">
        <f>0.7*102+0.15*109+0.15*141</f>
        <v>108.89999999999998</v>
      </c>
      <c r="J44" s="13">
        <v>0</v>
      </c>
      <c r="K44" s="13">
        <v>0</v>
      </c>
      <c r="O44" s="13">
        <v>0</v>
      </c>
      <c r="P44" s="13">
        <v>0</v>
      </c>
      <c r="T44" s="13">
        <v>0</v>
      </c>
      <c r="U44" s="13">
        <v>0</v>
      </c>
      <c r="Y44" s="13">
        <v>250</v>
      </c>
      <c r="Z44" s="13" t="s">
        <v>324</v>
      </c>
      <c r="AB44" s="13">
        <v>0</v>
      </c>
      <c r="AD44" s="13">
        <f>2266/4278*100</f>
        <v>52.96867695184666</v>
      </c>
      <c r="AE44" s="13">
        <v>2</v>
      </c>
      <c r="AF44" s="13">
        <v>2</v>
      </c>
      <c r="AG44" s="13">
        <v>10</v>
      </c>
      <c r="AH44" s="13">
        <v>0</v>
      </c>
      <c r="AI44" s="13">
        <f>0.5*211+0.4*184+0.05*249+0.05*250</f>
        <v>204.05</v>
      </c>
      <c r="AJ44" s="13">
        <v>1</v>
      </c>
      <c r="AK44" s="13">
        <v>0</v>
      </c>
      <c r="AM44" s="13" t="s">
        <v>325</v>
      </c>
      <c r="AN44" s="13">
        <f>10/2</f>
        <v>5</v>
      </c>
      <c r="AO44" s="13">
        <v>1</v>
      </c>
      <c r="AP44" s="13">
        <v>0</v>
      </c>
      <c r="AR44" s="13" t="s">
        <v>326</v>
      </c>
      <c r="AS44" s="13">
        <f>10/2</f>
        <v>5</v>
      </c>
      <c r="AT44" s="13">
        <v>0</v>
      </c>
      <c r="AU44" s="13">
        <v>0</v>
      </c>
      <c r="AX44" s="28"/>
      <c r="AY44" s="13">
        <v>250</v>
      </c>
      <c r="AZ44" s="13" t="s">
        <v>327</v>
      </c>
    </row>
    <row r="45" spans="1:52" hidden="1" x14ac:dyDescent="0.35">
      <c r="A45" s="13" t="s">
        <v>42</v>
      </c>
      <c r="B45" s="13" t="s">
        <v>41</v>
      </c>
      <c r="C45" s="13">
        <v>2023</v>
      </c>
      <c r="D45" s="14">
        <f>25/2</f>
        <v>12.5</v>
      </c>
      <c r="E45" s="13">
        <v>2</v>
      </c>
      <c r="F45" s="13">
        <v>2</v>
      </c>
      <c r="G45" s="13">
        <v>30</v>
      </c>
      <c r="H45" s="13">
        <v>0</v>
      </c>
      <c r="I45" s="13" t="s">
        <v>328</v>
      </c>
      <c r="J45" s="13">
        <v>1</v>
      </c>
      <c r="K45" s="13">
        <v>1</v>
      </c>
      <c r="L45" s="13">
        <v>15</v>
      </c>
      <c r="M45" s="13" t="s">
        <v>329</v>
      </c>
      <c r="N45" s="13">
        <v>15</v>
      </c>
      <c r="O45" s="13">
        <v>0</v>
      </c>
      <c r="P45" s="13">
        <v>0</v>
      </c>
      <c r="T45" s="13">
        <v>0</v>
      </c>
      <c r="U45" s="13">
        <v>0</v>
      </c>
      <c r="Y45" s="13">
        <v>130</v>
      </c>
      <c r="Z45" s="13" t="s">
        <v>330</v>
      </c>
      <c r="AB45" s="13">
        <v>0</v>
      </c>
      <c r="AD45" s="13">
        <f>(30+60)/2</f>
        <v>45</v>
      </c>
      <c r="AE45" s="13">
        <v>2</v>
      </c>
      <c r="AF45" s="13">
        <v>2</v>
      </c>
      <c r="AG45" s="13">
        <v>30</v>
      </c>
      <c r="AH45" s="13">
        <v>0</v>
      </c>
      <c r="AI45" s="13" t="s">
        <v>178</v>
      </c>
      <c r="AJ45" s="13">
        <v>0</v>
      </c>
      <c r="AK45" s="13">
        <v>0</v>
      </c>
      <c r="AO45" s="13">
        <v>1</v>
      </c>
      <c r="AP45" s="13">
        <v>0</v>
      </c>
      <c r="AR45" s="13" t="s">
        <v>331</v>
      </c>
      <c r="AS45" s="13">
        <v>10</v>
      </c>
      <c r="AT45" s="13">
        <v>1</v>
      </c>
      <c r="AU45" s="13">
        <v>0</v>
      </c>
      <c r="AW45" s="13" t="s">
        <v>332</v>
      </c>
      <c r="AX45" s="29">
        <v>20</v>
      </c>
      <c r="AY45" s="13">
        <v>200</v>
      </c>
      <c r="AZ45" s="13" t="s">
        <v>333</v>
      </c>
    </row>
    <row r="46" spans="1:52" hidden="1" x14ac:dyDescent="0.35">
      <c r="A46" s="19" t="s">
        <v>43</v>
      </c>
      <c r="B46" s="13" t="s">
        <v>41</v>
      </c>
      <c r="C46" s="13">
        <v>2023</v>
      </c>
      <c r="D46" s="14">
        <f>(20+25)/2</f>
        <v>22.5</v>
      </c>
      <c r="E46" s="13">
        <v>3</v>
      </c>
      <c r="F46" s="13">
        <v>2</v>
      </c>
      <c r="G46" s="13">
        <f>(10+15+10)*0.4</f>
        <v>14</v>
      </c>
      <c r="H46" s="13">
        <v>0</v>
      </c>
      <c r="I46" s="13">
        <v>41</v>
      </c>
      <c r="J46" s="13">
        <v>1</v>
      </c>
      <c r="K46" s="13">
        <v>0</v>
      </c>
      <c r="M46" s="13" t="s">
        <v>334</v>
      </c>
      <c r="N46" s="13">
        <f>0.1*40</f>
        <v>4</v>
      </c>
      <c r="O46" s="13">
        <v>1</v>
      </c>
      <c r="P46" s="13">
        <v>0</v>
      </c>
      <c r="R46" s="13" t="s">
        <v>335</v>
      </c>
      <c r="S46" s="13" t="s">
        <v>336</v>
      </c>
      <c r="T46" s="13">
        <v>0</v>
      </c>
      <c r="U46" s="13">
        <v>0</v>
      </c>
      <c r="Y46" s="13">
        <v>125</v>
      </c>
      <c r="Z46" s="13" t="s">
        <v>337</v>
      </c>
      <c r="AB46" s="13">
        <v>0</v>
      </c>
      <c r="AD46" s="13">
        <f>(30+35)/2</f>
        <v>32.5</v>
      </c>
      <c r="AE46" s="13">
        <v>0</v>
      </c>
      <c r="AG46" s="13">
        <v>0</v>
      </c>
      <c r="AH46" s="13">
        <v>0</v>
      </c>
      <c r="AI46" s="13">
        <v>126</v>
      </c>
      <c r="AJ46" s="13">
        <v>0</v>
      </c>
      <c r="AK46" s="13">
        <v>0</v>
      </c>
      <c r="AO46" s="13">
        <v>0</v>
      </c>
      <c r="AP46" s="13">
        <v>0</v>
      </c>
      <c r="AT46" s="13">
        <v>0</v>
      </c>
      <c r="AU46" s="13">
        <v>0</v>
      </c>
      <c r="AX46" s="28"/>
      <c r="AY46" s="13">
        <f>(150+125)/2</f>
        <v>137.5</v>
      </c>
      <c r="AZ46" s="13" t="s">
        <v>338</v>
      </c>
    </row>
    <row r="47" spans="1:52" hidden="1" x14ac:dyDescent="0.35">
      <c r="A47" s="19" t="s">
        <v>44</v>
      </c>
      <c r="B47" s="13" t="s">
        <v>41</v>
      </c>
      <c r="C47" s="13">
        <v>2023</v>
      </c>
      <c r="D47" s="14">
        <f>(24+26)/2</f>
        <v>25</v>
      </c>
      <c r="E47" s="13">
        <v>3</v>
      </c>
      <c r="F47" s="13">
        <v>1</v>
      </c>
      <c r="G47" s="13">
        <f>3/8*100</f>
        <v>37.5</v>
      </c>
      <c r="H47" s="13">
        <v>0</v>
      </c>
      <c r="I47" s="13">
        <v>118.26</v>
      </c>
      <c r="J47" s="13">
        <v>0</v>
      </c>
      <c r="K47" s="13">
        <v>0</v>
      </c>
      <c r="O47" s="13">
        <v>1</v>
      </c>
      <c r="P47" s="13">
        <v>0</v>
      </c>
      <c r="R47" s="13" t="s">
        <v>339</v>
      </c>
      <c r="T47" s="13">
        <v>0</v>
      </c>
      <c r="U47" s="13">
        <v>0</v>
      </c>
      <c r="Y47" s="13">
        <v>130</v>
      </c>
      <c r="Z47" s="13" t="s">
        <v>340</v>
      </c>
      <c r="AB47" s="13">
        <v>0</v>
      </c>
      <c r="AD47" s="13">
        <f>(30+26)/2</f>
        <v>28</v>
      </c>
      <c r="AE47" s="13">
        <v>0</v>
      </c>
      <c r="AG47" s="13">
        <v>0</v>
      </c>
      <c r="AH47" s="13">
        <v>0</v>
      </c>
      <c r="AI47" s="13">
        <v>100</v>
      </c>
      <c r="AJ47" s="13">
        <v>0</v>
      </c>
      <c r="AK47" s="13">
        <v>0</v>
      </c>
      <c r="AO47" s="13">
        <v>0</v>
      </c>
      <c r="AP47" s="13">
        <v>0</v>
      </c>
      <c r="AT47" s="13">
        <v>0</v>
      </c>
      <c r="AU47" s="13">
        <v>0</v>
      </c>
      <c r="AX47" s="29"/>
      <c r="AY47" s="13">
        <v>130</v>
      </c>
      <c r="AZ47" s="13" t="s">
        <v>341</v>
      </c>
    </row>
    <row r="48" spans="1:52" hidden="1" x14ac:dyDescent="0.35">
      <c r="A48" s="19" t="s">
        <v>45</v>
      </c>
      <c r="B48" s="13" t="s">
        <v>41</v>
      </c>
      <c r="C48" s="27" t="s">
        <v>46</v>
      </c>
      <c r="D48" s="14">
        <f>(20+35)/2</f>
        <v>27.5</v>
      </c>
      <c r="E48" s="13">
        <v>0</v>
      </c>
      <c r="G48" s="13">
        <v>0</v>
      </c>
      <c r="H48" s="13">
        <v>0</v>
      </c>
      <c r="I48" s="13">
        <v>174</v>
      </c>
      <c r="J48" s="13">
        <v>0</v>
      </c>
      <c r="K48" s="13">
        <v>0</v>
      </c>
      <c r="O48" s="13">
        <v>0</v>
      </c>
      <c r="P48" s="13">
        <v>0</v>
      </c>
      <c r="T48" s="13">
        <v>0</v>
      </c>
      <c r="U48" s="13">
        <v>0</v>
      </c>
      <c r="Y48" s="13">
        <v>200</v>
      </c>
      <c r="Z48" s="13" t="s">
        <v>342</v>
      </c>
      <c r="AB48" s="13">
        <v>0</v>
      </c>
      <c r="AD48" s="13">
        <f>(20+35)/2</f>
        <v>27.5</v>
      </c>
      <c r="AE48" s="13">
        <v>0</v>
      </c>
      <c r="AG48" s="13">
        <v>0</v>
      </c>
      <c r="AH48" s="13">
        <v>0</v>
      </c>
      <c r="AI48" s="13">
        <v>137</v>
      </c>
      <c r="AJ48" s="13">
        <v>0</v>
      </c>
      <c r="AK48" s="13">
        <v>0</v>
      </c>
      <c r="AO48" s="13">
        <v>0</v>
      </c>
      <c r="AP48" s="13">
        <v>0</v>
      </c>
      <c r="AT48" s="13">
        <v>0</v>
      </c>
      <c r="AU48" s="13">
        <v>0</v>
      </c>
      <c r="AX48" s="28"/>
      <c r="AY48" s="13">
        <v>150</v>
      </c>
      <c r="AZ48" s="13" t="s">
        <v>343</v>
      </c>
    </row>
    <row r="49" spans="1:52" hidden="1" x14ac:dyDescent="0.35">
      <c r="A49" s="19" t="s">
        <v>47</v>
      </c>
      <c r="B49" s="13" t="s">
        <v>41</v>
      </c>
      <c r="C49" s="13">
        <v>2023</v>
      </c>
      <c r="D49" s="14">
        <v>18.8</v>
      </c>
      <c r="E49" s="13">
        <v>0</v>
      </c>
      <c r="G49" s="13">
        <v>0</v>
      </c>
      <c r="H49" s="13">
        <v>0</v>
      </c>
      <c r="I49" s="13">
        <v>100</v>
      </c>
      <c r="J49" s="13">
        <v>0</v>
      </c>
      <c r="K49" s="13">
        <v>0</v>
      </c>
      <c r="O49" s="13">
        <v>0</v>
      </c>
      <c r="P49" s="13">
        <v>0</v>
      </c>
      <c r="T49" s="13">
        <v>0</v>
      </c>
      <c r="U49" s="13">
        <v>0</v>
      </c>
      <c r="Y49" s="13" t="s">
        <v>178</v>
      </c>
      <c r="Z49" s="13" t="s">
        <v>344</v>
      </c>
      <c r="AB49" s="13">
        <v>0</v>
      </c>
      <c r="AD49" s="13">
        <v>9.4</v>
      </c>
      <c r="AE49" s="13">
        <v>0</v>
      </c>
      <c r="AG49" s="13">
        <v>0</v>
      </c>
      <c r="AH49" s="13">
        <v>0</v>
      </c>
      <c r="AI49" s="13">
        <v>100</v>
      </c>
      <c r="AJ49" s="13">
        <v>0</v>
      </c>
      <c r="AK49" s="13">
        <v>0</v>
      </c>
      <c r="AO49" s="13">
        <v>0</v>
      </c>
      <c r="AP49" s="13">
        <v>0</v>
      </c>
      <c r="AT49" s="13">
        <v>0</v>
      </c>
      <c r="AU49" s="13">
        <v>0</v>
      </c>
      <c r="AX49" s="29"/>
      <c r="AY49" s="13" t="s">
        <v>178</v>
      </c>
      <c r="AZ49" s="13" t="s">
        <v>344</v>
      </c>
    </row>
    <row r="50" spans="1:52" hidden="1" x14ac:dyDescent="0.35">
      <c r="A50" s="19" t="s">
        <v>48</v>
      </c>
      <c r="B50" s="13" t="s">
        <v>41</v>
      </c>
      <c r="C50" s="13">
        <v>2023</v>
      </c>
      <c r="D50" s="14">
        <f>(2+10)/2</f>
        <v>6</v>
      </c>
      <c r="E50" s="13">
        <v>3</v>
      </c>
      <c r="F50" s="13">
        <v>2</v>
      </c>
      <c r="G50" s="13">
        <v>100</v>
      </c>
      <c r="H50" s="13">
        <v>0</v>
      </c>
      <c r="I50" s="13">
        <v>78.400000000000006</v>
      </c>
      <c r="J50" s="13">
        <v>1</v>
      </c>
      <c r="K50" s="13">
        <v>0</v>
      </c>
      <c r="M50" s="13" t="s">
        <v>345</v>
      </c>
      <c r="N50" s="13">
        <v>33.33</v>
      </c>
      <c r="O50" s="13">
        <v>1</v>
      </c>
      <c r="P50" s="13">
        <v>0</v>
      </c>
      <c r="R50" s="13" t="s">
        <v>346</v>
      </c>
      <c r="S50" s="13">
        <v>33.33</v>
      </c>
      <c r="T50" s="13">
        <v>1</v>
      </c>
      <c r="U50" s="13">
        <v>0</v>
      </c>
      <c r="W50" s="13" t="s">
        <v>347</v>
      </c>
      <c r="X50" s="13">
        <v>33.33</v>
      </c>
      <c r="Y50" s="13">
        <v>150</v>
      </c>
      <c r="Z50" s="13" t="s">
        <v>348</v>
      </c>
      <c r="AB50" s="13">
        <v>0</v>
      </c>
      <c r="AD50" s="13">
        <f>(60+90)/2</f>
        <v>75</v>
      </c>
      <c r="AE50" s="13">
        <v>0</v>
      </c>
      <c r="AG50" s="13">
        <v>0</v>
      </c>
      <c r="AH50" s="13">
        <v>0</v>
      </c>
      <c r="AI50" s="13">
        <v>100</v>
      </c>
      <c r="AJ50" s="13">
        <v>0</v>
      </c>
      <c r="AK50" s="13">
        <v>0</v>
      </c>
      <c r="AO50" s="13">
        <v>0</v>
      </c>
      <c r="AP50" s="13">
        <v>0</v>
      </c>
      <c r="AT50" s="13">
        <v>0</v>
      </c>
      <c r="AU50" s="13">
        <v>0</v>
      </c>
      <c r="AX50" s="28"/>
      <c r="AY50" s="13" t="s">
        <v>178</v>
      </c>
      <c r="AZ50" s="13" t="s">
        <v>349</v>
      </c>
    </row>
    <row r="51" spans="1:52" hidden="1" x14ac:dyDescent="0.35">
      <c r="A51" s="19" t="s">
        <v>49</v>
      </c>
      <c r="B51" s="13" t="s">
        <v>41</v>
      </c>
      <c r="C51" s="13">
        <v>2023</v>
      </c>
      <c r="D51" s="14">
        <v>23.4</v>
      </c>
      <c r="E51" s="13">
        <v>2</v>
      </c>
      <c r="F51" s="13">
        <v>2</v>
      </c>
      <c r="G51" s="13">
        <v>20</v>
      </c>
      <c r="H51" s="13">
        <v>0</v>
      </c>
      <c r="I51" s="13">
        <v>166.85</v>
      </c>
      <c r="J51" s="13">
        <v>0</v>
      </c>
      <c r="K51" s="13">
        <v>0</v>
      </c>
      <c r="O51" s="13">
        <v>1</v>
      </c>
      <c r="P51" s="13">
        <v>1</v>
      </c>
      <c r="Q51" s="13">
        <v>10</v>
      </c>
      <c r="R51" s="13" t="s">
        <v>350</v>
      </c>
      <c r="S51" s="13">
        <v>10</v>
      </c>
      <c r="T51" s="13">
        <v>0</v>
      </c>
      <c r="U51" s="13">
        <v>0</v>
      </c>
      <c r="Y51" s="13">
        <v>200</v>
      </c>
      <c r="Z51" s="13" t="s">
        <v>351</v>
      </c>
      <c r="AB51" s="13">
        <v>0</v>
      </c>
      <c r="AD51" s="13">
        <v>43</v>
      </c>
      <c r="AE51" s="13">
        <v>1</v>
      </c>
      <c r="AF51" s="13">
        <v>2</v>
      </c>
      <c r="AG51" s="13">
        <v>20</v>
      </c>
      <c r="AH51" s="13">
        <v>0</v>
      </c>
      <c r="AI51" s="13">
        <v>127.67</v>
      </c>
      <c r="AJ51" s="13">
        <v>1</v>
      </c>
      <c r="AK51" s="13">
        <v>1</v>
      </c>
      <c r="AL51" s="13">
        <v>20</v>
      </c>
      <c r="AO51" s="13">
        <v>0</v>
      </c>
      <c r="AP51" s="13">
        <v>0</v>
      </c>
      <c r="AT51" s="13">
        <v>0</v>
      </c>
      <c r="AU51" s="13">
        <v>0</v>
      </c>
      <c r="AX51" s="29"/>
      <c r="AY51" s="13">
        <v>200</v>
      </c>
      <c r="AZ51" s="13" t="s">
        <v>352</v>
      </c>
    </row>
    <row r="52" spans="1:52" hidden="1" x14ac:dyDescent="0.35">
      <c r="A52" s="19" t="s">
        <v>50</v>
      </c>
      <c r="B52" s="13" t="s">
        <v>41</v>
      </c>
      <c r="C52" s="13">
        <v>2023</v>
      </c>
      <c r="D52" s="28">
        <v>25.487256370000001</v>
      </c>
      <c r="E52" s="28">
        <v>1</v>
      </c>
      <c r="F52" s="28">
        <v>2</v>
      </c>
      <c r="G52" s="28">
        <v>10</v>
      </c>
      <c r="H52" s="28">
        <v>0</v>
      </c>
      <c r="I52" s="28">
        <v>151.5</v>
      </c>
      <c r="J52" s="28">
        <v>0</v>
      </c>
      <c r="K52" s="28">
        <v>0</v>
      </c>
      <c r="L52" s="28"/>
      <c r="M52" s="28"/>
      <c r="N52" s="28"/>
      <c r="O52" s="28">
        <v>0</v>
      </c>
      <c r="P52" s="28">
        <v>0</v>
      </c>
      <c r="Q52" s="28"/>
      <c r="R52" s="28"/>
      <c r="S52" s="28"/>
      <c r="T52" s="28">
        <v>1</v>
      </c>
      <c r="U52" s="28">
        <v>1</v>
      </c>
      <c r="V52" s="28">
        <v>10</v>
      </c>
      <c r="W52" s="28"/>
      <c r="X52" s="28"/>
      <c r="Y52" s="28">
        <v>200</v>
      </c>
      <c r="Z52" s="28" t="s">
        <v>353</v>
      </c>
      <c r="AA52" s="28"/>
      <c r="AB52" s="28">
        <v>0</v>
      </c>
      <c r="AC52" s="28"/>
      <c r="AD52" s="28">
        <v>27.486256869999998</v>
      </c>
      <c r="AE52" s="28">
        <v>1</v>
      </c>
      <c r="AF52" s="28">
        <v>2</v>
      </c>
      <c r="AG52" s="28">
        <v>10.90909091</v>
      </c>
      <c r="AH52" s="28">
        <v>0</v>
      </c>
      <c r="AI52" s="28" t="s">
        <v>328</v>
      </c>
      <c r="AJ52" s="28">
        <v>0</v>
      </c>
      <c r="AK52" s="28">
        <v>0</v>
      </c>
      <c r="AL52" s="28"/>
      <c r="AM52" s="28"/>
      <c r="AN52" s="28"/>
      <c r="AO52" s="28">
        <v>0</v>
      </c>
      <c r="AP52" s="28">
        <v>0</v>
      </c>
      <c r="AQ52" s="28"/>
      <c r="AR52" s="28"/>
      <c r="AS52" s="28"/>
      <c r="AT52" s="28">
        <v>0</v>
      </c>
      <c r="AU52" s="28">
        <v>0</v>
      </c>
      <c r="AV52" s="28"/>
      <c r="AW52" s="28"/>
      <c r="AX52" s="28"/>
      <c r="AY52" s="28">
        <v>300</v>
      </c>
      <c r="AZ52" s="28" t="s">
        <v>354</v>
      </c>
    </row>
    <row r="53" spans="1:52" hidden="1" x14ac:dyDescent="0.35">
      <c r="A53" s="19" t="s">
        <v>51</v>
      </c>
      <c r="B53" s="13" t="s">
        <v>41</v>
      </c>
      <c r="C53" s="13">
        <v>2023</v>
      </c>
      <c r="D53" s="14">
        <v>22</v>
      </c>
      <c r="E53" s="13">
        <v>4</v>
      </c>
      <c r="F53" s="13" t="s">
        <v>221</v>
      </c>
      <c r="G53" s="13" t="s">
        <v>355</v>
      </c>
      <c r="H53" s="13">
        <v>0</v>
      </c>
      <c r="I53" s="13">
        <v>48.4</v>
      </c>
      <c r="J53" s="13">
        <v>1</v>
      </c>
      <c r="K53" s="13">
        <v>0</v>
      </c>
      <c r="M53" s="13" t="s">
        <v>356</v>
      </c>
      <c r="O53" s="13">
        <v>1</v>
      </c>
      <c r="P53" s="13">
        <v>0</v>
      </c>
      <c r="R53" s="13" t="s">
        <v>357</v>
      </c>
      <c r="S53" s="13">
        <v>10</v>
      </c>
      <c r="T53" s="13">
        <v>0</v>
      </c>
      <c r="U53" s="13">
        <v>0</v>
      </c>
      <c r="Y53" s="13">
        <v>200</v>
      </c>
      <c r="Z53" s="13" t="s">
        <v>358</v>
      </c>
      <c r="AB53" s="13">
        <v>0</v>
      </c>
      <c r="AD53" s="13">
        <v>32</v>
      </c>
      <c r="AE53" s="13">
        <v>5</v>
      </c>
      <c r="AF53" s="13">
        <v>2</v>
      </c>
      <c r="AG53" s="13">
        <v>20</v>
      </c>
      <c r="AH53" s="13">
        <v>0</v>
      </c>
      <c r="AI53" s="13">
        <f>(88+79+62+55)/4</f>
        <v>71</v>
      </c>
      <c r="AJ53" s="13">
        <v>1</v>
      </c>
      <c r="AK53" s="13">
        <v>1</v>
      </c>
      <c r="AL53" s="13">
        <f>20*0.4</f>
        <v>8</v>
      </c>
      <c r="AM53" s="13" t="s">
        <v>359</v>
      </c>
      <c r="AN53" s="13">
        <f>20*0.4</f>
        <v>8</v>
      </c>
      <c r="AO53" s="13">
        <v>1</v>
      </c>
      <c r="AP53" s="13">
        <v>0</v>
      </c>
      <c r="AR53" s="13" t="s">
        <v>360</v>
      </c>
      <c r="AS53" s="13" t="s">
        <v>361</v>
      </c>
      <c r="AT53" s="13">
        <v>0</v>
      </c>
      <c r="AU53" s="13">
        <v>0</v>
      </c>
      <c r="AX53" s="29"/>
      <c r="AY53" s="13">
        <v>200</v>
      </c>
      <c r="AZ53" s="13" t="s">
        <v>362</v>
      </c>
    </row>
    <row r="54" spans="1:52" hidden="1" x14ac:dyDescent="0.35">
      <c r="A54" s="19" t="s">
        <v>52</v>
      </c>
      <c r="B54" s="13" t="s">
        <v>41</v>
      </c>
      <c r="C54" s="13">
        <v>2023</v>
      </c>
      <c r="D54" s="14">
        <v>23.6</v>
      </c>
      <c r="E54" s="13">
        <v>3</v>
      </c>
      <c r="F54" s="13">
        <v>2</v>
      </c>
      <c r="G54" s="13">
        <v>20</v>
      </c>
      <c r="H54" s="13">
        <v>0</v>
      </c>
      <c r="I54" s="13">
        <v>0</v>
      </c>
      <c r="J54" s="13">
        <v>1</v>
      </c>
      <c r="K54" s="13">
        <v>1</v>
      </c>
      <c r="L54" s="13">
        <v>5</v>
      </c>
      <c r="O54" s="13">
        <v>1</v>
      </c>
      <c r="P54" s="13">
        <v>1</v>
      </c>
      <c r="Q54" s="13">
        <v>10</v>
      </c>
      <c r="T54" s="13">
        <v>0</v>
      </c>
      <c r="U54" s="13">
        <v>0</v>
      </c>
      <c r="Y54" s="13">
        <v>150</v>
      </c>
      <c r="Z54" s="13" t="s">
        <v>363</v>
      </c>
      <c r="AB54" s="13">
        <v>0</v>
      </c>
      <c r="AD54" s="13">
        <v>47.2</v>
      </c>
      <c r="AE54" s="13">
        <v>1</v>
      </c>
      <c r="AF54" s="13">
        <v>1</v>
      </c>
      <c r="AG54" s="13">
        <v>100</v>
      </c>
      <c r="AH54" s="13">
        <v>0</v>
      </c>
      <c r="AI54" s="13">
        <v>200</v>
      </c>
      <c r="AJ54" s="13">
        <v>0</v>
      </c>
      <c r="AK54" s="13">
        <v>0</v>
      </c>
      <c r="AO54" s="13">
        <v>0</v>
      </c>
      <c r="AP54" s="13">
        <v>0</v>
      </c>
      <c r="AT54" s="13">
        <v>0</v>
      </c>
      <c r="AU54" s="13">
        <v>0</v>
      </c>
      <c r="AX54" s="28"/>
      <c r="AY54" s="13">
        <v>200</v>
      </c>
      <c r="AZ54" s="13" t="s">
        <v>364</v>
      </c>
    </row>
    <row r="55" spans="1:52" hidden="1" x14ac:dyDescent="0.35">
      <c r="A55" s="19" t="s">
        <v>53</v>
      </c>
      <c r="B55" s="13" t="s">
        <v>41</v>
      </c>
      <c r="C55" s="13">
        <v>2023</v>
      </c>
      <c r="D55" s="14">
        <v>27.6</v>
      </c>
      <c r="E55" s="13">
        <v>2</v>
      </c>
      <c r="F55" s="13">
        <v>1</v>
      </c>
      <c r="G55" s="13">
        <v>66.67</v>
      </c>
      <c r="H55" s="13">
        <v>0</v>
      </c>
      <c r="I55" s="13">
        <f>(74.97+60)*1.1</f>
        <v>148.46700000000001</v>
      </c>
      <c r="J55" s="13">
        <v>1</v>
      </c>
      <c r="K55" s="13">
        <v>1</v>
      </c>
      <c r="M55" s="13" t="s">
        <v>365</v>
      </c>
      <c r="O55" s="13">
        <v>0</v>
      </c>
      <c r="P55" s="13">
        <v>0</v>
      </c>
      <c r="T55" s="13">
        <v>0</v>
      </c>
      <c r="U55" s="13">
        <v>0</v>
      </c>
      <c r="Y55" s="13">
        <v>150</v>
      </c>
      <c r="Z55" s="13" t="s">
        <v>366</v>
      </c>
      <c r="AB55" s="13">
        <v>0</v>
      </c>
      <c r="AD55" s="13">
        <v>38.4</v>
      </c>
      <c r="AE55" s="13">
        <v>0</v>
      </c>
      <c r="AG55" s="13">
        <v>0</v>
      </c>
      <c r="AH55" s="13">
        <v>0</v>
      </c>
      <c r="AI55" s="13">
        <v>0</v>
      </c>
      <c r="AJ55" s="13">
        <v>0</v>
      </c>
      <c r="AK55" s="13">
        <v>0</v>
      </c>
      <c r="AO55" s="13">
        <v>0</v>
      </c>
      <c r="AP55" s="13">
        <v>0</v>
      </c>
      <c r="AT55" s="13">
        <v>0</v>
      </c>
      <c r="AU55" s="13">
        <v>0</v>
      </c>
      <c r="AX55" s="29"/>
      <c r="AY55" s="13">
        <v>150</v>
      </c>
      <c r="AZ55" s="13" t="s">
        <v>367</v>
      </c>
    </row>
    <row r="56" spans="1:52" hidden="1" x14ac:dyDescent="0.35">
      <c r="A56" s="19" t="s">
        <v>54</v>
      </c>
      <c r="B56" s="13" t="s">
        <v>41</v>
      </c>
      <c r="C56" s="13">
        <v>2023</v>
      </c>
      <c r="D56" s="14">
        <v>43.5</v>
      </c>
      <c r="E56" s="13">
        <v>1</v>
      </c>
      <c r="F56" s="13">
        <v>2</v>
      </c>
      <c r="G56" s="13">
        <v>10</v>
      </c>
      <c r="H56" s="13">
        <v>0</v>
      </c>
      <c r="I56" s="13">
        <v>130.19999999999999</v>
      </c>
      <c r="J56" s="13">
        <v>0</v>
      </c>
      <c r="K56" s="13">
        <v>0</v>
      </c>
      <c r="O56" s="13">
        <v>1</v>
      </c>
      <c r="P56" s="13">
        <v>0</v>
      </c>
      <c r="R56" s="13" t="s">
        <v>368</v>
      </c>
      <c r="S56" s="13">
        <v>10</v>
      </c>
      <c r="Y56" s="13">
        <v>150</v>
      </c>
      <c r="Z56" s="13" t="s">
        <v>369</v>
      </c>
      <c r="AB56" s="13">
        <v>0</v>
      </c>
      <c r="AD56" s="13">
        <v>0</v>
      </c>
      <c r="AE56" s="13">
        <v>1</v>
      </c>
      <c r="AF56" s="13">
        <v>2</v>
      </c>
      <c r="AG56" s="13">
        <v>20</v>
      </c>
      <c r="AH56" s="13">
        <v>0</v>
      </c>
      <c r="AI56" s="13">
        <v>123.8</v>
      </c>
      <c r="AJ56" s="13">
        <v>0</v>
      </c>
      <c r="AK56" s="13">
        <v>0</v>
      </c>
      <c r="AO56" s="13">
        <v>0</v>
      </c>
      <c r="AP56" s="13">
        <v>0</v>
      </c>
      <c r="AT56" s="13">
        <v>0</v>
      </c>
      <c r="AU56" s="13">
        <v>0</v>
      </c>
      <c r="AX56" s="28"/>
      <c r="AY56" s="13">
        <v>250</v>
      </c>
      <c r="AZ56" s="13" t="s">
        <v>370</v>
      </c>
    </row>
    <row r="57" spans="1:52" hidden="1" x14ac:dyDescent="0.35">
      <c r="A57" s="19" t="s">
        <v>55</v>
      </c>
      <c r="B57" s="13" t="s">
        <v>41</v>
      </c>
      <c r="C57" s="13">
        <v>2023</v>
      </c>
      <c r="D57" s="14">
        <v>31</v>
      </c>
      <c r="E57" s="13">
        <v>3</v>
      </c>
      <c r="F57" s="13">
        <v>2</v>
      </c>
      <c r="G57" s="13">
        <v>20</v>
      </c>
      <c r="H57" s="13">
        <v>0</v>
      </c>
      <c r="I57" s="13">
        <v>115.4</v>
      </c>
      <c r="J57" s="13">
        <v>1</v>
      </c>
      <c r="K57" s="13">
        <v>0</v>
      </c>
      <c r="M57" s="13" t="s">
        <v>371</v>
      </c>
      <c r="N57" s="13">
        <f>20/3</f>
        <v>6.666666666666667</v>
      </c>
      <c r="O57" s="13">
        <v>1</v>
      </c>
      <c r="P57" s="13">
        <v>1</v>
      </c>
      <c r="Q57" s="13">
        <f>20/3</f>
        <v>6.666666666666667</v>
      </c>
      <c r="R57" s="13" t="s">
        <v>372</v>
      </c>
      <c r="S57" s="13">
        <f>20/3</f>
        <v>6.666666666666667</v>
      </c>
      <c r="T57" s="13">
        <v>0</v>
      </c>
      <c r="U57" s="13">
        <v>0</v>
      </c>
      <c r="Y57" s="13">
        <v>120</v>
      </c>
      <c r="Z57" s="13" t="s">
        <v>373</v>
      </c>
      <c r="AB57" s="13">
        <v>0</v>
      </c>
      <c r="AD57" s="13">
        <v>40</v>
      </c>
      <c r="AE57" s="13">
        <v>0</v>
      </c>
      <c r="AG57" s="13">
        <v>0</v>
      </c>
      <c r="AH57" s="13">
        <v>0</v>
      </c>
      <c r="AI57" s="13">
        <v>58</v>
      </c>
      <c r="AJ57" s="13">
        <v>0</v>
      </c>
      <c r="AK57" s="13">
        <v>0</v>
      </c>
      <c r="AO57" s="13">
        <v>0</v>
      </c>
      <c r="AP57" s="13">
        <v>0</v>
      </c>
      <c r="AT57" s="13">
        <v>0</v>
      </c>
      <c r="AU57" s="13">
        <v>0</v>
      </c>
      <c r="AX57" s="29"/>
      <c r="AY57" s="13">
        <v>200</v>
      </c>
      <c r="AZ57" s="13" t="s">
        <v>374</v>
      </c>
    </row>
    <row r="58" spans="1:52" hidden="1" x14ac:dyDescent="0.35">
      <c r="A58" s="19" t="s">
        <v>56</v>
      </c>
      <c r="B58" s="13" t="s">
        <v>41</v>
      </c>
      <c r="C58" s="13">
        <v>2023</v>
      </c>
      <c r="D58" s="14">
        <v>27</v>
      </c>
      <c r="E58" s="13">
        <v>6</v>
      </c>
      <c r="F58" s="13">
        <v>1</v>
      </c>
      <c r="G58" s="13">
        <v>100</v>
      </c>
      <c r="H58" s="13">
        <v>0</v>
      </c>
      <c r="I58" s="13">
        <v>120</v>
      </c>
      <c r="J58" s="13">
        <v>1</v>
      </c>
      <c r="K58" s="13">
        <v>1</v>
      </c>
      <c r="M58" s="13" t="s">
        <v>375</v>
      </c>
      <c r="O58" s="13">
        <v>1</v>
      </c>
      <c r="P58" s="13">
        <v>0</v>
      </c>
      <c r="R58" s="13" t="s">
        <v>376</v>
      </c>
      <c r="T58" s="13">
        <v>1</v>
      </c>
      <c r="U58" s="13">
        <v>0</v>
      </c>
      <c r="W58" s="13" t="s">
        <v>377</v>
      </c>
      <c r="Y58" s="13">
        <f>34/27*100</f>
        <v>125.92592592592592</v>
      </c>
      <c r="Z58" s="13" t="s">
        <v>378</v>
      </c>
      <c r="AB58" s="13">
        <v>0</v>
      </c>
      <c r="AD58" s="13">
        <v>33</v>
      </c>
      <c r="AE58" s="13">
        <v>6</v>
      </c>
      <c r="AF58" s="13">
        <v>1</v>
      </c>
      <c r="AG58" s="13">
        <v>100</v>
      </c>
      <c r="AH58" s="13">
        <v>0</v>
      </c>
      <c r="AI58" s="13">
        <v>120</v>
      </c>
      <c r="AJ58" s="13">
        <v>1</v>
      </c>
      <c r="AK58" s="13">
        <v>1</v>
      </c>
      <c r="AM58" s="13" t="s">
        <v>375</v>
      </c>
      <c r="AO58" s="13">
        <v>1</v>
      </c>
      <c r="AP58" s="13">
        <v>0</v>
      </c>
      <c r="AR58" s="13" t="s">
        <v>376</v>
      </c>
      <c r="AT58" s="13">
        <v>1</v>
      </c>
      <c r="AU58" s="13">
        <v>0</v>
      </c>
      <c r="AW58" s="13" t="s">
        <v>377</v>
      </c>
      <c r="AX58" s="28"/>
      <c r="AY58" s="13">
        <f>41/33*100</f>
        <v>124.24242424242425</v>
      </c>
      <c r="AZ58" s="13" t="s">
        <v>378</v>
      </c>
    </row>
    <row r="59" spans="1:52" hidden="1" x14ac:dyDescent="0.35">
      <c r="A59" s="19" t="s">
        <v>57</v>
      </c>
      <c r="B59" s="13" t="s">
        <v>41</v>
      </c>
      <c r="C59" s="13">
        <v>2023</v>
      </c>
      <c r="D59" s="14">
        <f>(23+19)/2</f>
        <v>21</v>
      </c>
      <c r="E59" s="13">
        <v>1</v>
      </c>
      <c r="F59" s="13">
        <v>1</v>
      </c>
      <c r="G59" s="13">
        <f>100/3</f>
        <v>33.333333333333336</v>
      </c>
      <c r="H59" s="13">
        <v>0</v>
      </c>
      <c r="I59" s="13">
        <v>179.8</v>
      </c>
      <c r="J59" s="13">
        <v>0</v>
      </c>
      <c r="K59" s="13">
        <v>0</v>
      </c>
      <c r="O59" s="13">
        <v>1</v>
      </c>
      <c r="P59" s="13">
        <v>0</v>
      </c>
      <c r="R59" s="13" t="s">
        <v>379</v>
      </c>
      <c r="T59" s="13">
        <v>0</v>
      </c>
      <c r="U59" s="13">
        <v>0</v>
      </c>
      <c r="Y59" s="13">
        <v>200</v>
      </c>
      <c r="Z59" s="13" t="s">
        <v>380</v>
      </c>
      <c r="AB59" s="13">
        <v>0</v>
      </c>
      <c r="AD59" s="13">
        <f>(33+36)/2</f>
        <v>34.5</v>
      </c>
      <c r="AE59" s="13">
        <v>3</v>
      </c>
      <c r="AF59" s="13">
        <v>2</v>
      </c>
      <c r="AG59" s="13">
        <v>40</v>
      </c>
      <c r="AH59" s="13">
        <v>0</v>
      </c>
      <c r="AI59" s="13">
        <v>80</v>
      </c>
      <c r="AJ59" s="13">
        <v>1</v>
      </c>
      <c r="AK59" s="13">
        <v>1</v>
      </c>
      <c r="AL59" s="13">
        <v>20</v>
      </c>
      <c r="AM59" s="13" t="s">
        <v>381</v>
      </c>
      <c r="AN59" s="13">
        <v>10</v>
      </c>
      <c r="AO59" s="13">
        <v>0</v>
      </c>
      <c r="AP59" s="13">
        <v>0</v>
      </c>
      <c r="AT59" s="13">
        <v>0</v>
      </c>
      <c r="AU59" s="13">
        <v>0</v>
      </c>
      <c r="AX59" s="29"/>
      <c r="AY59" s="13">
        <v>200</v>
      </c>
      <c r="AZ59" s="13" t="s">
        <v>382</v>
      </c>
    </row>
    <row r="60" spans="1:52" hidden="1" x14ac:dyDescent="0.35">
      <c r="A60" s="19" t="s">
        <v>58</v>
      </c>
      <c r="B60" s="13" t="s">
        <v>41</v>
      </c>
      <c r="C60" s="13">
        <v>2023</v>
      </c>
      <c r="D60" s="14">
        <v>25.1</v>
      </c>
      <c r="E60" s="13">
        <v>4</v>
      </c>
      <c r="F60" s="13">
        <v>1</v>
      </c>
      <c r="G60" s="13">
        <v>100</v>
      </c>
      <c r="H60" s="13">
        <v>0</v>
      </c>
      <c r="I60" s="13">
        <v>58.3</v>
      </c>
      <c r="J60" s="13">
        <v>1</v>
      </c>
      <c r="K60" s="13">
        <v>0</v>
      </c>
      <c r="M60" s="13" t="s">
        <v>383</v>
      </c>
      <c r="O60" s="13">
        <v>1</v>
      </c>
      <c r="P60" s="13">
        <v>0</v>
      </c>
      <c r="R60" s="13" t="s">
        <v>384</v>
      </c>
      <c r="T60" s="13">
        <v>1</v>
      </c>
      <c r="U60" s="13">
        <v>0</v>
      </c>
      <c r="W60" s="13" t="s">
        <v>385</v>
      </c>
      <c r="Y60" s="13">
        <v>84</v>
      </c>
      <c r="Z60" s="13" t="s">
        <v>386</v>
      </c>
      <c r="AB60" s="13">
        <v>0</v>
      </c>
      <c r="AD60" s="13">
        <v>18.7</v>
      </c>
      <c r="AE60" s="13">
        <v>0</v>
      </c>
      <c r="AG60" s="13">
        <v>0</v>
      </c>
      <c r="AH60" s="13">
        <v>0</v>
      </c>
      <c r="AI60" s="13">
        <f>(100+137.5)/2</f>
        <v>118.75</v>
      </c>
      <c r="AJ60" s="13">
        <v>0</v>
      </c>
      <c r="AK60" s="13">
        <v>0</v>
      </c>
      <c r="AO60" s="13">
        <v>0</v>
      </c>
      <c r="AP60" s="13">
        <v>0</v>
      </c>
      <c r="AT60" s="13">
        <v>0</v>
      </c>
      <c r="AU60" s="13">
        <v>0</v>
      </c>
      <c r="AX60" s="28"/>
      <c r="AY60" s="13">
        <v>180</v>
      </c>
      <c r="AZ60" s="13" t="s">
        <v>387</v>
      </c>
    </row>
    <row r="61" spans="1:52" hidden="1" x14ac:dyDescent="0.35">
      <c r="A61" s="19" t="s">
        <v>59</v>
      </c>
      <c r="B61" s="13" t="s">
        <v>41</v>
      </c>
      <c r="C61" s="13">
        <v>2023</v>
      </c>
      <c r="D61" s="14">
        <v>33</v>
      </c>
      <c r="E61" s="13">
        <v>2</v>
      </c>
      <c r="F61" s="13">
        <v>2</v>
      </c>
      <c r="G61" s="13">
        <f>15/2</f>
        <v>7.5</v>
      </c>
      <c r="H61" s="13">
        <v>0</v>
      </c>
      <c r="I61" s="13">
        <v>102</v>
      </c>
      <c r="J61" s="13">
        <v>1</v>
      </c>
      <c r="K61" s="13">
        <v>0</v>
      </c>
      <c r="M61" s="13" t="s">
        <v>388</v>
      </c>
      <c r="N61" s="13">
        <f>7.5/2</f>
        <v>3.75</v>
      </c>
      <c r="O61" s="13">
        <v>1</v>
      </c>
      <c r="P61" s="13">
        <v>0</v>
      </c>
      <c r="R61" s="13" t="s">
        <v>389</v>
      </c>
      <c r="S61" s="13">
        <f>7.5/2</f>
        <v>3.75</v>
      </c>
      <c r="T61" s="13">
        <v>0</v>
      </c>
      <c r="U61" s="13">
        <v>0</v>
      </c>
      <c r="Y61" s="13">
        <v>300</v>
      </c>
      <c r="Z61" s="13" t="s">
        <v>390</v>
      </c>
      <c r="AB61" s="13">
        <v>0</v>
      </c>
      <c r="AD61" s="13">
        <v>36</v>
      </c>
      <c r="AE61" s="13">
        <v>2</v>
      </c>
      <c r="AF61" s="13">
        <v>2</v>
      </c>
      <c r="AG61" s="13">
        <v>25</v>
      </c>
      <c r="AH61" s="13">
        <v>0</v>
      </c>
      <c r="AI61" s="13" t="s">
        <v>178</v>
      </c>
      <c r="AJ61" s="13">
        <v>1</v>
      </c>
      <c r="AK61" s="13">
        <v>1</v>
      </c>
      <c r="AL61" s="13">
        <v>15</v>
      </c>
      <c r="AO61" s="13">
        <v>1</v>
      </c>
      <c r="AP61" s="13">
        <v>0</v>
      </c>
      <c r="AR61" s="13" t="s">
        <v>207</v>
      </c>
      <c r="AS61" s="13">
        <v>10</v>
      </c>
      <c r="AT61" s="13">
        <v>0</v>
      </c>
      <c r="AU61" s="13">
        <v>0</v>
      </c>
      <c r="AX61" s="29"/>
      <c r="AY61" s="13">
        <v>200</v>
      </c>
      <c r="AZ61" s="13" t="s">
        <v>391</v>
      </c>
    </row>
    <row r="62" spans="1:52" hidden="1" x14ac:dyDescent="0.35">
      <c r="A62" s="19" t="s">
        <v>60</v>
      </c>
      <c r="B62" s="13" t="s">
        <v>41</v>
      </c>
      <c r="C62" s="13">
        <v>2023</v>
      </c>
      <c r="D62" s="14">
        <f>1212500/5000000*100</f>
        <v>24.25</v>
      </c>
      <c r="E62" s="13">
        <v>0</v>
      </c>
      <c r="G62" s="13">
        <v>0</v>
      </c>
      <c r="H62" s="13">
        <v>0</v>
      </c>
      <c r="J62" s="13">
        <v>0</v>
      </c>
      <c r="K62" s="13">
        <v>0</v>
      </c>
      <c r="O62" s="13">
        <v>0</v>
      </c>
      <c r="P62" s="13">
        <v>0</v>
      </c>
      <c r="T62" s="13">
        <v>0</v>
      </c>
      <c r="U62" s="13">
        <v>0</v>
      </c>
      <c r="Z62" s="13" t="s">
        <v>392</v>
      </c>
      <c r="AB62" s="13">
        <v>0</v>
      </c>
      <c r="AD62" s="13">
        <f>3637500/5000000*100</f>
        <v>72.75</v>
      </c>
      <c r="AE62" s="13">
        <v>2</v>
      </c>
      <c r="AF62" s="13">
        <v>1</v>
      </c>
      <c r="AG62" s="13">
        <v>20</v>
      </c>
      <c r="AH62" s="13">
        <v>0</v>
      </c>
      <c r="AI62" s="13">
        <f>0.6*100+0.4*85.61</f>
        <v>94.244</v>
      </c>
      <c r="AJ62" s="13">
        <v>1</v>
      </c>
      <c r="AK62" s="13">
        <v>1</v>
      </c>
      <c r="AL62" s="13">
        <v>10</v>
      </c>
      <c r="AM62" s="13" t="s">
        <v>393</v>
      </c>
      <c r="AN62" s="13">
        <v>10</v>
      </c>
      <c r="AO62" s="13">
        <v>0</v>
      </c>
      <c r="AP62" s="13">
        <v>0</v>
      </c>
      <c r="AT62" s="13">
        <v>0</v>
      </c>
      <c r="AU62" s="13">
        <v>0</v>
      </c>
      <c r="AX62" s="28"/>
      <c r="AY62" s="13">
        <v>100</v>
      </c>
      <c r="AZ62" s="13" t="s">
        <v>394</v>
      </c>
    </row>
    <row r="63" spans="1:52" hidden="1" x14ac:dyDescent="0.35">
      <c r="A63" s="19" t="s">
        <v>61</v>
      </c>
      <c r="B63" s="13" t="s">
        <v>41</v>
      </c>
      <c r="C63" s="13">
        <v>2023</v>
      </c>
      <c r="D63" s="14">
        <v>30</v>
      </c>
      <c r="E63" s="13">
        <v>0</v>
      </c>
      <c r="G63" s="13">
        <v>0</v>
      </c>
      <c r="H63" s="13">
        <v>0</v>
      </c>
      <c r="I63" s="13">
        <v>111</v>
      </c>
      <c r="J63" s="13">
        <v>0</v>
      </c>
      <c r="K63" s="13">
        <v>0</v>
      </c>
      <c r="O63" s="13">
        <v>0</v>
      </c>
      <c r="P63" s="13">
        <v>0</v>
      </c>
      <c r="T63" s="13">
        <v>0</v>
      </c>
      <c r="U63" s="13">
        <v>0</v>
      </c>
      <c r="Y63" s="13">
        <v>150</v>
      </c>
      <c r="Z63" s="13" t="s">
        <v>395</v>
      </c>
      <c r="AB63" s="13">
        <v>0</v>
      </c>
      <c r="AD63" s="13">
        <v>35</v>
      </c>
      <c r="AE63" s="13">
        <v>2</v>
      </c>
      <c r="AF63" s="13">
        <v>2</v>
      </c>
      <c r="AG63" s="13">
        <v>20</v>
      </c>
      <c r="AH63" s="13">
        <v>0</v>
      </c>
      <c r="AI63" s="13">
        <v>0</v>
      </c>
      <c r="AJ63" s="13">
        <v>1</v>
      </c>
      <c r="AK63" s="13">
        <v>1</v>
      </c>
      <c r="AL63" s="13">
        <v>10</v>
      </c>
      <c r="AO63" s="13">
        <v>1</v>
      </c>
      <c r="AP63" s="13">
        <v>0</v>
      </c>
      <c r="AR63" s="13" t="s">
        <v>396</v>
      </c>
      <c r="AS63" s="13">
        <v>10</v>
      </c>
      <c r="AT63" s="13">
        <v>0</v>
      </c>
      <c r="AU63" s="13">
        <v>0</v>
      </c>
      <c r="AX63" s="29"/>
      <c r="AY63" s="13">
        <v>200</v>
      </c>
      <c r="AZ63" s="13" t="s">
        <v>397</v>
      </c>
    </row>
    <row r="64" spans="1:52" hidden="1" x14ac:dyDescent="0.35">
      <c r="A64" s="19" t="s">
        <v>62</v>
      </c>
      <c r="B64" s="13" t="s">
        <v>41</v>
      </c>
      <c r="C64" s="13">
        <v>2023</v>
      </c>
      <c r="D64" s="14">
        <f>65*0.35</f>
        <v>22.75</v>
      </c>
      <c r="E64" s="13">
        <v>2</v>
      </c>
      <c r="F64" s="13">
        <v>2</v>
      </c>
      <c r="G64" s="13">
        <v>10</v>
      </c>
      <c r="H64" s="13">
        <v>0</v>
      </c>
      <c r="I64" s="13">
        <v>200</v>
      </c>
      <c r="J64" s="13">
        <v>1</v>
      </c>
      <c r="K64" s="13">
        <v>1</v>
      </c>
      <c r="L64" s="13">
        <v>5</v>
      </c>
      <c r="M64" s="13" t="s">
        <v>398</v>
      </c>
      <c r="N64" s="13">
        <v>5</v>
      </c>
      <c r="O64" s="13">
        <v>0</v>
      </c>
      <c r="P64" s="13">
        <v>0</v>
      </c>
      <c r="T64" s="13">
        <v>0</v>
      </c>
      <c r="U64" s="13">
        <v>0</v>
      </c>
      <c r="Y64" s="13">
        <v>200</v>
      </c>
      <c r="Z64" s="13" t="s">
        <v>399</v>
      </c>
      <c r="AB64" s="13">
        <v>0</v>
      </c>
      <c r="AD64" s="13">
        <f>65*0.65</f>
        <v>42.25</v>
      </c>
      <c r="AE64" s="13">
        <v>2</v>
      </c>
      <c r="AF64" s="13">
        <v>2</v>
      </c>
      <c r="AG64" s="13">
        <v>10</v>
      </c>
      <c r="AH64" s="13">
        <v>0</v>
      </c>
      <c r="AI64" s="13">
        <v>200</v>
      </c>
      <c r="AJ64" s="13">
        <v>1</v>
      </c>
      <c r="AK64" s="13">
        <v>1</v>
      </c>
      <c r="AL64" s="13">
        <v>5</v>
      </c>
      <c r="AM64" s="13" t="s">
        <v>398</v>
      </c>
      <c r="AN64" s="13">
        <v>5</v>
      </c>
      <c r="AO64" s="13">
        <v>0</v>
      </c>
      <c r="AP64" s="13">
        <v>0</v>
      </c>
      <c r="AT64" s="13">
        <v>0</v>
      </c>
      <c r="AU64" s="13">
        <v>0</v>
      </c>
      <c r="AX64" s="28"/>
      <c r="AY64" s="13">
        <v>200</v>
      </c>
      <c r="AZ64" s="13" t="s">
        <v>399</v>
      </c>
    </row>
    <row r="65" spans="1:52" hidden="1" x14ac:dyDescent="0.35">
      <c r="A65" s="19" t="s">
        <v>63</v>
      </c>
      <c r="B65" s="13" t="s">
        <v>41</v>
      </c>
      <c r="C65" s="13">
        <v>2023</v>
      </c>
      <c r="D65" s="14">
        <v>27.5</v>
      </c>
      <c r="E65" s="13">
        <v>0</v>
      </c>
      <c r="G65" s="13">
        <v>0</v>
      </c>
      <c r="H65" s="13">
        <v>0</v>
      </c>
      <c r="I65" s="13">
        <v>105</v>
      </c>
      <c r="J65" s="13">
        <v>0</v>
      </c>
      <c r="K65" s="13">
        <v>0</v>
      </c>
      <c r="O65" s="13">
        <v>0</v>
      </c>
      <c r="P65" s="13">
        <v>0</v>
      </c>
      <c r="T65" s="13">
        <v>0</v>
      </c>
      <c r="U65" s="13">
        <v>0</v>
      </c>
      <c r="Y65" s="13">
        <v>150</v>
      </c>
      <c r="Z65" s="13" t="s">
        <v>400</v>
      </c>
      <c r="AB65" s="13">
        <v>0</v>
      </c>
      <c r="AD65" s="13">
        <v>42.5</v>
      </c>
      <c r="AE65" s="13">
        <v>2</v>
      </c>
      <c r="AF65" s="13">
        <v>2</v>
      </c>
      <c r="AG65" s="13">
        <v>33.33</v>
      </c>
      <c r="AH65" s="13">
        <v>0</v>
      </c>
      <c r="AI65" s="13">
        <v>163</v>
      </c>
      <c r="AJ65" s="13">
        <v>1</v>
      </c>
      <c r="AK65" s="13">
        <v>0</v>
      </c>
      <c r="AM65" s="13" t="s">
        <v>401</v>
      </c>
      <c r="AN65" s="13">
        <v>16.670000000000002</v>
      </c>
      <c r="AO65" s="13">
        <v>1</v>
      </c>
      <c r="AP65" s="13">
        <v>1</v>
      </c>
      <c r="AQ65" s="13">
        <v>16.670000000000002</v>
      </c>
      <c r="AT65" s="13">
        <v>0</v>
      </c>
      <c r="AU65" s="13">
        <v>0</v>
      </c>
      <c r="AX65" s="29"/>
      <c r="AY65" s="13">
        <v>250</v>
      </c>
      <c r="AZ65" s="13" t="s">
        <v>402</v>
      </c>
    </row>
    <row r="66" spans="1:52" hidden="1" x14ac:dyDescent="0.35">
      <c r="A66" s="19" t="s">
        <v>64</v>
      </c>
      <c r="B66" s="13" t="s">
        <v>41</v>
      </c>
      <c r="C66" s="13">
        <v>2023</v>
      </c>
      <c r="D66" s="14">
        <f>(17+23)/2</f>
        <v>20</v>
      </c>
      <c r="E66" s="13">
        <v>3</v>
      </c>
      <c r="F66" s="13">
        <v>1</v>
      </c>
      <c r="G66" s="13">
        <v>100</v>
      </c>
      <c r="H66" s="13">
        <v>0</v>
      </c>
      <c r="I66" s="13">
        <f>76.32*0.3+113.16*0.4+105*0.2</f>
        <v>89.16</v>
      </c>
      <c r="J66" s="13">
        <v>1</v>
      </c>
      <c r="K66" s="13">
        <v>1</v>
      </c>
      <c r="O66" s="13">
        <v>1</v>
      </c>
      <c r="P66" s="13">
        <v>1</v>
      </c>
      <c r="T66" s="13">
        <v>1</v>
      </c>
      <c r="U66" s="13">
        <v>0</v>
      </c>
      <c r="W66" s="13" t="s">
        <v>403</v>
      </c>
      <c r="Y66" s="13">
        <v>200</v>
      </c>
      <c r="Z66" s="13" t="s">
        <v>404</v>
      </c>
      <c r="AB66" s="13">
        <v>0</v>
      </c>
      <c r="AD66" s="13">
        <f>(30+25)/2</f>
        <v>27.5</v>
      </c>
      <c r="AE66" s="13">
        <v>3</v>
      </c>
      <c r="AF66" s="13">
        <v>2</v>
      </c>
      <c r="AG66" s="13">
        <v>20</v>
      </c>
      <c r="AH66" s="13">
        <v>0</v>
      </c>
      <c r="AI66" s="13">
        <v>118.78</v>
      </c>
      <c r="AJ66" s="13">
        <v>1</v>
      </c>
      <c r="AK66" s="13">
        <v>1</v>
      </c>
      <c r="AL66" s="13">
        <v>6.67</v>
      </c>
      <c r="AO66" s="13">
        <v>1</v>
      </c>
      <c r="AP66" s="13">
        <v>0</v>
      </c>
      <c r="AR66" s="13" t="s">
        <v>405</v>
      </c>
      <c r="AS66" s="13">
        <v>6.67</v>
      </c>
      <c r="AT66" s="13">
        <v>1</v>
      </c>
      <c r="AU66" s="13">
        <v>0</v>
      </c>
      <c r="AW66" s="13" t="s">
        <v>406</v>
      </c>
      <c r="AX66" s="28">
        <v>6.67</v>
      </c>
      <c r="AY66" s="13">
        <v>200</v>
      </c>
      <c r="AZ66" s="13" t="s">
        <v>407</v>
      </c>
    </row>
    <row r="67" spans="1:52" hidden="1" x14ac:dyDescent="0.35">
      <c r="A67" s="19" t="s">
        <v>65</v>
      </c>
      <c r="B67" s="13" t="s">
        <v>41</v>
      </c>
      <c r="C67" s="13">
        <v>2023</v>
      </c>
      <c r="D67" s="14">
        <v>27.5</v>
      </c>
      <c r="E67" s="13">
        <v>1</v>
      </c>
      <c r="F67" s="13">
        <v>2</v>
      </c>
      <c r="G67" s="13">
        <v>20</v>
      </c>
      <c r="H67" s="13">
        <v>0</v>
      </c>
      <c r="I67" s="13">
        <v>124.99</v>
      </c>
      <c r="J67" s="13">
        <v>1</v>
      </c>
      <c r="K67" s="13">
        <v>0</v>
      </c>
      <c r="M67" s="13" t="s">
        <v>408</v>
      </c>
      <c r="N67" s="13">
        <f>20*0.275</f>
        <v>5.5</v>
      </c>
      <c r="O67" s="13">
        <v>0</v>
      </c>
      <c r="P67" s="13">
        <v>0</v>
      </c>
      <c r="T67" s="13">
        <v>0</v>
      </c>
      <c r="U67" s="13">
        <v>0</v>
      </c>
      <c r="Y67" s="13">
        <v>150</v>
      </c>
      <c r="Z67" s="13" t="s">
        <v>409</v>
      </c>
      <c r="AB67" s="13">
        <v>0</v>
      </c>
      <c r="AD67" s="13">
        <v>23.2</v>
      </c>
      <c r="AE67" s="13">
        <v>1</v>
      </c>
      <c r="AF67" s="13">
        <v>2</v>
      </c>
      <c r="AG67" s="13">
        <v>20</v>
      </c>
      <c r="AH67" s="13">
        <v>0</v>
      </c>
      <c r="AI67" s="13">
        <v>79.08</v>
      </c>
      <c r="AJ67" s="13">
        <v>1</v>
      </c>
      <c r="AK67" s="13">
        <v>0</v>
      </c>
      <c r="AM67" s="13" t="s">
        <v>408</v>
      </c>
      <c r="AN67" s="13">
        <f>20*0.232</f>
        <v>4.6400000000000006</v>
      </c>
      <c r="AO67" s="13">
        <v>1</v>
      </c>
      <c r="AP67" s="13">
        <v>0</v>
      </c>
      <c r="AT67" s="13">
        <v>1</v>
      </c>
      <c r="AU67" s="13">
        <v>0</v>
      </c>
      <c r="AX67" s="29"/>
      <c r="AY67" s="13">
        <v>180</v>
      </c>
      <c r="AZ67" s="13" t="s">
        <v>410</v>
      </c>
    </row>
    <row r="68" spans="1:52" hidden="1" x14ac:dyDescent="0.35">
      <c r="A68" s="19" t="s">
        <v>66</v>
      </c>
      <c r="B68" s="13" t="s">
        <v>41</v>
      </c>
      <c r="C68" s="13">
        <v>2023</v>
      </c>
      <c r="D68" s="14">
        <v>25</v>
      </c>
      <c r="E68" s="13">
        <v>0</v>
      </c>
      <c r="G68" s="13">
        <v>0</v>
      </c>
      <c r="H68" s="13">
        <v>0</v>
      </c>
      <c r="I68" s="13">
        <v>47.4</v>
      </c>
      <c r="J68" s="13">
        <v>0</v>
      </c>
      <c r="K68" s="13">
        <v>0</v>
      </c>
      <c r="O68" s="13">
        <v>0</v>
      </c>
      <c r="P68" s="13">
        <v>0</v>
      </c>
      <c r="T68" s="13">
        <v>0</v>
      </c>
      <c r="U68" s="13">
        <v>0</v>
      </c>
      <c r="Y68" s="13">
        <v>200</v>
      </c>
      <c r="Z68" s="13" t="s">
        <v>411</v>
      </c>
      <c r="AB68" s="13">
        <v>0</v>
      </c>
      <c r="AD68" s="13">
        <v>38</v>
      </c>
      <c r="AE68" s="13">
        <v>3</v>
      </c>
      <c r="AF68" s="13">
        <v>2</v>
      </c>
      <c r="AG68" s="13">
        <v>50</v>
      </c>
      <c r="AH68" s="13">
        <v>0</v>
      </c>
      <c r="AI68" s="13">
        <f>(200+156.1)/2</f>
        <v>178.05</v>
      </c>
      <c r="AJ68" s="13">
        <v>1</v>
      </c>
      <c r="AK68" s="13">
        <v>1</v>
      </c>
      <c r="AL68" s="13">
        <v>16.670000000000002</v>
      </c>
      <c r="AO68" s="13">
        <v>1</v>
      </c>
      <c r="AP68" s="13">
        <v>0</v>
      </c>
      <c r="AR68" s="13" t="s">
        <v>412</v>
      </c>
      <c r="AS68" s="13">
        <v>16.670000000000002</v>
      </c>
      <c r="AT68" s="13">
        <v>1</v>
      </c>
      <c r="AU68" s="13">
        <v>0</v>
      </c>
      <c r="AW68" s="13" t="s">
        <v>413</v>
      </c>
      <c r="AX68" s="28">
        <v>16.670000000000002</v>
      </c>
      <c r="AY68" s="13">
        <v>200</v>
      </c>
      <c r="AZ68" s="13" t="s">
        <v>414</v>
      </c>
    </row>
    <row r="69" spans="1:52" hidden="1" x14ac:dyDescent="0.35">
      <c r="A69" s="19" t="s">
        <v>67</v>
      </c>
      <c r="B69" s="13" t="s">
        <v>41</v>
      </c>
      <c r="C69" s="13">
        <v>2023</v>
      </c>
      <c r="D69" s="14">
        <v>38.1</v>
      </c>
      <c r="E69" s="13">
        <v>2</v>
      </c>
      <c r="F69" s="13">
        <v>2</v>
      </c>
      <c r="G69" s="13">
        <v>20</v>
      </c>
      <c r="H69" s="13">
        <v>0</v>
      </c>
      <c r="I69" s="13">
        <v>138.62</v>
      </c>
      <c r="J69" s="13">
        <v>1</v>
      </c>
      <c r="K69" s="13">
        <v>0</v>
      </c>
      <c r="M69" s="13" t="s">
        <v>415</v>
      </c>
      <c r="N69" s="13">
        <v>10</v>
      </c>
      <c r="O69" s="13">
        <v>1</v>
      </c>
      <c r="P69" s="13">
        <v>0</v>
      </c>
      <c r="R69" s="13" t="s">
        <v>416</v>
      </c>
      <c r="S69" s="13">
        <v>10</v>
      </c>
      <c r="T69" s="13">
        <v>0</v>
      </c>
      <c r="U69" s="13">
        <v>0</v>
      </c>
      <c r="Y69" s="13">
        <v>200</v>
      </c>
      <c r="Z69" s="13" t="s">
        <v>417</v>
      </c>
      <c r="AB69" s="13">
        <v>0</v>
      </c>
      <c r="AD69" s="13">
        <v>0</v>
      </c>
      <c r="AE69" s="13">
        <v>3</v>
      </c>
      <c r="AF69" s="13">
        <v>2</v>
      </c>
      <c r="AG69" s="13">
        <v>20</v>
      </c>
      <c r="AH69" s="13">
        <v>0</v>
      </c>
      <c r="AI69" s="13">
        <v>14.67</v>
      </c>
      <c r="AJ69" s="13">
        <v>0</v>
      </c>
      <c r="AK69" s="13">
        <v>0</v>
      </c>
      <c r="AO69" s="13">
        <v>1</v>
      </c>
      <c r="AP69" s="13">
        <v>1</v>
      </c>
      <c r="AQ69" s="13">
        <v>5</v>
      </c>
      <c r="AR69" s="13" t="s">
        <v>418</v>
      </c>
      <c r="AS69" s="13">
        <v>5</v>
      </c>
      <c r="AT69" s="13">
        <v>1</v>
      </c>
      <c r="AU69" s="13">
        <v>0</v>
      </c>
      <c r="AW69" s="13" t="s">
        <v>419</v>
      </c>
      <c r="AX69" s="29">
        <v>10</v>
      </c>
      <c r="AY69" s="13">
        <v>200</v>
      </c>
      <c r="AZ69" s="13" t="s">
        <v>420</v>
      </c>
    </row>
    <row r="70" spans="1:52" hidden="1" x14ac:dyDescent="0.35">
      <c r="A70" s="19" t="s">
        <v>68</v>
      </c>
      <c r="B70" s="13" t="s">
        <v>41</v>
      </c>
      <c r="C70" s="13">
        <v>2023</v>
      </c>
      <c r="D70" s="14">
        <f>(25+35)/2</f>
        <v>30</v>
      </c>
      <c r="E70" s="13">
        <v>4</v>
      </c>
      <c r="F70" s="13" t="s">
        <v>221</v>
      </c>
      <c r="G70" s="13" t="s">
        <v>421</v>
      </c>
      <c r="H70" s="13">
        <v>0</v>
      </c>
      <c r="I70" s="13">
        <f>0.7*200+0.1*190.5+0.2*147</f>
        <v>188.45000000000002</v>
      </c>
      <c r="J70" s="13">
        <v>1</v>
      </c>
      <c r="K70" s="13">
        <v>1</v>
      </c>
      <c r="L70" s="13">
        <f>20*0.5*0.5</f>
        <v>5</v>
      </c>
      <c r="O70" s="13">
        <v>1</v>
      </c>
      <c r="P70" s="13">
        <v>0</v>
      </c>
      <c r="R70" s="13" t="s">
        <v>422</v>
      </c>
      <c r="S70" s="13">
        <f>20*0.5*0.5</f>
        <v>5</v>
      </c>
      <c r="T70" s="13">
        <v>1</v>
      </c>
      <c r="U70" s="13">
        <v>0</v>
      </c>
      <c r="W70" s="13" t="s">
        <v>423</v>
      </c>
      <c r="X70" s="13">
        <v>10</v>
      </c>
      <c r="Y70" s="13">
        <v>180</v>
      </c>
      <c r="Z70" s="13" t="s">
        <v>424</v>
      </c>
      <c r="AB70" s="13">
        <v>0</v>
      </c>
      <c r="AD70" s="13">
        <f>(45+35)/2</f>
        <v>40</v>
      </c>
      <c r="AE70" s="13">
        <v>0</v>
      </c>
      <c r="AG70" s="13">
        <v>0</v>
      </c>
      <c r="AH70" s="13">
        <v>0</v>
      </c>
      <c r="AI70" s="13">
        <v>37.6</v>
      </c>
      <c r="AJ70" s="13">
        <v>0</v>
      </c>
      <c r="AK70" s="13">
        <v>0</v>
      </c>
      <c r="AO70" s="13">
        <v>0</v>
      </c>
      <c r="AP70" s="13">
        <v>0</v>
      </c>
      <c r="AT70" s="13">
        <v>0</v>
      </c>
      <c r="AU70" s="13">
        <v>0</v>
      </c>
      <c r="AX70" s="28"/>
      <c r="AY70" s="13">
        <v>180</v>
      </c>
      <c r="AZ70" s="13" t="s">
        <v>425</v>
      </c>
    </row>
    <row r="71" spans="1:52" hidden="1" x14ac:dyDescent="0.35">
      <c r="A71" s="19" t="s">
        <v>69</v>
      </c>
      <c r="B71" s="13" t="s">
        <v>41</v>
      </c>
      <c r="C71" s="13">
        <v>2023</v>
      </c>
      <c r="D71" s="14">
        <v>15</v>
      </c>
      <c r="E71" s="13">
        <v>0</v>
      </c>
      <c r="G71" s="13">
        <v>0</v>
      </c>
      <c r="H71" s="13">
        <v>0</v>
      </c>
      <c r="I71" s="13">
        <f>0.6*107.7+0.4*149.04</f>
        <v>124.236</v>
      </c>
      <c r="J71" s="13">
        <v>0</v>
      </c>
      <c r="K71" s="13">
        <v>0</v>
      </c>
      <c r="O71" s="13">
        <v>0</v>
      </c>
      <c r="P71" s="13">
        <v>0</v>
      </c>
      <c r="T71" s="13">
        <v>0</v>
      </c>
      <c r="U71" s="13">
        <v>0</v>
      </c>
      <c r="Y71" s="13">
        <v>200</v>
      </c>
      <c r="Z71" s="13" t="s">
        <v>426</v>
      </c>
      <c r="AB71" s="13">
        <v>0</v>
      </c>
      <c r="AD71" s="13">
        <v>26</v>
      </c>
      <c r="AE71" s="13">
        <v>2</v>
      </c>
      <c r="AF71" s="13">
        <v>2</v>
      </c>
      <c r="AG71" s="13">
        <v>15</v>
      </c>
      <c r="AH71" s="13">
        <v>0</v>
      </c>
      <c r="AI71" s="13">
        <v>164</v>
      </c>
      <c r="AJ71" s="13">
        <v>1</v>
      </c>
      <c r="AK71" s="13">
        <v>1</v>
      </c>
      <c r="AL71" s="13">
        <f>15*0.7</f>
        <v>10.5</v>
      </c>
      <c r="AO71" s="13">
        <v>1</v>
      </c>
      <c r="AP71" s="13">
        <v>0</v>
      </c>
      <c r="AR71" s="13" t="s">
        <v>250</v>
      </c>
      <c r="AS71" s="13">
        <f>0.3*15</f>
        <v>4.5</v>
      </c>
      <c r="AT71" s="13">
        <v>1</v>
      </c>
      <c r="AU71" s="13">
        <v>0</v>
      </c>
      <c r="AW71" s="13" t="s">
        <v>250</v>
      </c>
      <c r="AX71" s="29">
        <v>4.5</v>
      </c>
      <c r="AY71" s="13">
        <v>250</v>
      </c>
      <c r="AZ71" s="13" t="s">
        <v>427</v>
      </c>
    </row>
    <row r="72" spans="1:52" hidden="1" x14ac:dyDescent="0.35">
      <c r="A72" s="19" t="s">
        <v>70</v>
      </c>
      <c r="B72" s="13" t="s">
        <v>41</v>
      </c>
      <c r="C72" s="13">
        <v>2023</v>
      </c>
      <c r="D72" s="14">
        <v>30</v>
      </c>
      <c r="E72" s="13">
        <v>1</v>
      </c>
      <c r="F72" s="13">
        <v>2</v>
      </c>
      <c r="G72" s="13">
        <v>20</v>
      </c>
      <c r="H72" s="13">
        <v>0</v>
      </c>
      <c r="I72" s="13">
        <f>0*0.8+150*0.2</f>
        <v>30</v>
      </c>
      <c r="J72" s="13">
        <v>0</v>
      </c>
      <c r="K72" s="13">
        <v>0</v>
      </c>
      <c r="O72" s="13">
        <v>1</v>
      </c>
      <c r="P72" s="13">
        <v>0</v>
      </c>
      <c r="R72" s="13" t="s">
        <v>428</v>
      </c>
      <c r="T72" s="13">
        <v>0</v>
      </c>
      <c r="U72" s="13">
        <v>0</v>
      </c>
      <c r="Y72" s="13">
        <v>200</v>
      </c>
      <c r="Z72" s="13" t="s">
        <v>429</v>
      </c>
      <c r="AB72" s="13">
        <v>0</v>
      </c>
      <c r="AD72" s="13">
        <v>40</v>
      </c>
      <c r="AE72" s="13">
        <v>1</v>
      </c>
      <c r="AF72" s="13">
        <v>2</v>
      </c>
      <c r="AG72" s="13">
        <v>40</v>
      </c>
      <c r="AH72" s="13">
        <v>0</v>
      </c>
      <c r="AI72" s="13">
        <v>0</v>
      </c>
      <c r="AJ72" s="13">
        <v>1</v>
      </c>
      <c r="AK72" s="13">
        <v>1</v>
      </c>
      <c r="AL72" s="13">
        <v>40</v>
      </c>
      <c r="AO72" s="13">
        <v>0</v>
      </c>
      <c r="AP72" s="13">
        <v>0</v>
      </c>
      <c r="AT72" s="13">
        <v>0</v>
      </c>
      <c r="AU72" s="13">
        <v>0</v>
      </c>
      <c r="AX72" s="28"/>
      <c r="AY72" s="13">
        <v>200</v>
      </c>
      <c r="AZ72" s="13" t="s">
        <v>430</v>
      </c>
    </row>
    <row r="73" spans="1:52" hidden="1" x14ac:dyDescent="0.35">
      <c r="A73" s="19" t="s">
        <v>71</v>
      </c>
      <c r="B73" s="13" t="s">
        <v>41</v>
      </c>
      <c r="C73" s="13">
        <v>2023</v>
      </c>
      <c r="D73" s="14">
        <f>600/2550*100</f>
        <v>23.52941176470588</v>
      </c>
      <c r="E73" s="13">
        <v>4</v>
      </c>
      <c r="F73" s="13">
        <v>2</v>
      </c>
      <c r="G73" s="13">
        <v>20</v>
      </c>
      <c r="H73" s="13">
        <v>0</v>
      </c>
      <c r="I73" s="13">
        <v>174</v>
      </c>
      <c r="J73" s="13">
        <v>1</v>
      </c>
      <c r="K73" s="13">
        <v>1</v>
      </c>
      <c r="L73" s="13">
        <f>20/3</f>
        <v>6.666666666666667</v>
      </c>
      <c r="O73" s="13">
        <v>1</v>
      </c>
      <c r="P73" s="13">
        <v>0</v>
      </c>
      <c r="R73" s="13" t="s">
        <v>431</v>
      </c>
      <c r="S73" s="13">
        <f>20/3</f>
        <v>6.666666666666667</v>
      </c>
      <c r="T73" s="13">
        <v>1</v>
      </c>
      <c r="U73" s="13" t="s">
        <v>163</v>
      </c>
      <c r="V73" s="13" t="s">
        <v>172</v>
      </c>
      <c r="Y73" s="13">
        <v>200</v>
      </c>
      <c r="Z73" s="13" t="s">
        <v>432</v>
      </c>
      <c r="AB73" s="13">
        <v>0</v>
      </c>
      <c r="AD73" s="13">
        <f>1000/2550*100</f>
        <v>39.215686274509807</v>
      </c>
      <c r="AE73" s="13">
        <v>2</v>
      </c>
      <c r="AF73" s="13">
        <v>2</v>
      </c>
      <c r="AG73" s="13">
        <v>20</v>
      </c>
      <c r="AH73" s="13">
        <v>0</v>
      </c>
      <c r="AI73" s="13">
        <v>57.18</v>
      </c>
      <c r="AJ73" s="13">
        <v>1</v>
      </c>
      <c r="AK73" s="13">
        <v>1</v>
      </c>
      <c r="AL73" s="13">
        <v>10</v>
      </c>
      <c r="AO73" s="13">
        <v>1</v>
      </c>
      <c r="AP73" s="13">
        <v>1</v>
      </c>
      <c r="AQ73" s="13">
        <v>10</v>
      </c>
      <c r="AT73" s="13">
        <v>0</v>
      </c>
      <c r="AU73" s="13">
        <v>0</v>
      </c>
      <c r="AX73" s="29"/>
      <c r="AY73" s="13">
        <v>250</v>
      </c>
      <c r="AZ73" s="13" t="s">
        <v>433</v>
      </c>
    </row>
    <row r="74" spans="1:52" hidden="1" x14ac:dyDescent="0.35">
      <c r="A74" s="19" t="s">
        <v>72</v>
      </c>
      <c r="B74" s="13" t="s">
        <v>41</v>
      </c>
      <c r="C74" s="13">
        <v>2023</v>
      </c>
      <c r="D74" s="14">
        <v>25</v>
      </c>
      <c r="E74" s="13">
        <v>0</v>
      </c>
      <c r="G74" s="13">
        <v>0</v>
      </c>
      <c r="H74" s="13">
        <v>0</v>
      </c>
      <c r="I74" s="13">
        <f>536963/765000*100</f>
        <v>70.191241830065351</v>
      </c>
      <c r="J74" s="13">
        <v>0</v>
      </c>
      <c r="K74" s="13">
        <v>0</v>
      </c>
      <c r="O74" s="13">
        <v>0</v>
      </c>
      <c r="P74" s="13">
        <v>0</v>
      </c>
      <c r="T74" s="13">
        <v>0</v>
      </c>
      <c r="U74" s="13">
        <v>0</v>
      </c>
      <c r="Y74" s="13">
        <v>150</v>
      </c>
      <c r="Z74" s="13" t="s">
        <v>434</v>
      </c>
      <c r="AB74" s="13">
        <v>0</v>
      </c>
      <c r="AD74" s="13">
        <v>39</v>
      </c>
      <c r="AE74" s="13">
        <v>0</v>
      </c>
      <c r="AG74" s="13">
        <v>0</v>
      </c>
      <c r="AH74" s="13">
        <v>0</v>
      </c>
      <c r="AI74" s="13" t="s">
        <v>178</v>
      </c>
      <c r="AJ74" s="13">
        <v>0</v>
      </c>
      <c r="AK74" s="13">
        <v>0</v>
      </c>
      <c r="AO74" s="13">
        <v>0</v>
      </c>
      <c r="AP74" s="13">
        <v>0</v>
      </c>
      <c r="AT74" s="13">
        <v>0</v>
      </c>
      <c r="AU74" s="13">
        <v>0</v>
      </c>
      <c r="AX74" s="28"/>
      <c r="AY74" s="13" t="s">
        <v>178</v>
      </c>
      <c r="AZ74" s="13" t="s">
        <v>435</v>
      </c>
    </row>
    <row r="75" spans="1:52" hidden="1" x14ac:dyDescent="0.35">
      <c r="A75" s="19" t="s">
        <v>73</v>
      </c>
      <c r="B75" s="13" t="s">
        <v>41</v>
      </c>
      <c r="C75" s="13">
        <v>2023</v>
      </c>
      <c r="D75" s="14">
        <v>36</v>
      </c>
      <c r="E75" s="13">
        <v>1</v>
      </c>
      <c r="F75" s="13">
        <v>1</v>
      </c>
      <c r="G75" s="13">
        <v>5</v>
      </c>
      <c r="H75" s="13">
        <v>1</v>
      </c>
      <c r="I75" s="13">
        <v>69.88</v>
      </c>
      <c r="J75" s="13">
        <v>0</v>
      </c>
      <c r="K75" s="13">
        <v>0</v>
      </c>
      <c r="O75" s="13">
        <v>1</v>
      </c>
      <c r="R75" s="13" t="s">
        <v>416</v>
      </c>
      <c r="S75" s="13">
        <v>5</v>
      </c>
      <c r="T75" s="13">
        <v>0</v>
      </c>
      <c r="U75" s="13">
        <v>0</v>
      </c>
      <c r="Y75" s="13">
        <v>200</v>
      </c>
      <c r="Z75" s="13" t="s">
        <v>436</v>
      </c>
      <c r="AB75" s="13">
        <v>0</v>
      </c>
      <c r="AD75" s="13">
        <v>9</v>
      </c>
      <c r="AE75" s="13">
        <v>1</v>
      </c>
      <c r="AF75" s="13">
        <v>2</v>
      </c>
      <c r="AG75" s="13">
        <v>20</v>
      </c>
      <c r="AH75" s="13">
        <v>0</v>
      </c>
      <c r="AI75" s="13">
        <v>50</v>
      </c>
      <c r="AJ75" s="13">
        <v>0</v>
      </c>
      <c r="AK75" s="13">
        <v>0</v>
      </c>
      <c r="AO75" s="13">
        <v>1</v>
      </c>
      <c r="AP75" s="13">
        <v>0</v>
      </c>
      <c r="AR75" s="13" t="s">
        <v>437</v>
      </c>
      <c r="AS75" s="13">
        <v>20</v>
      </c>
      <c r="AT75" s="13">
        <v>1</v>
      </c>
      <c r="AU75" s="13">
        <v>0</v>
      </c>
      <c r="AW75" s="13" t="s">
        <v>437</v>
      </c>
      <c r="AX75" s="29">
        <v>20</v>
      </c>
      <c r="AY75" s="13">
        <v>300</v>
      </c>
      <c r="AZ75" s="13" t="s">
        <v>438</v>
      </c>
    </row>
    <row r="76" spans="1:52" hidden="1" x14ac:dyDescent="0.35">
      <c r="A76" s="19" t="s">
        <v>74</v>
      </c>
      <c r="B76" s="13" t="s">
        <v>41</v>
      </c>
      <c r="C76" s="13">
        <v>2023</v>
      </c>
      <c r="D76" s="14">
        <v>22</v>
      </c>
      <c r="E76" s="13">
        <v>10</v>
      </c>
      <c r="F76" s="13">
        <v>2</v>
      </c>
      <c r="G76" s="13">
        <f>10+10/4</f>
        <v>12.5</v>
      </c>
      <c r="H76" s="13">
        <v>0</v>
      </c>
      <c r="I76" s="13">
        <v>112.7</v>
      </c>
      <c r="J76" s="13">
        <v>1</v>
      </c>
      <c r="M76" s="13" t="s">
        <v>439</v>
      </c>
      <c r="N76" s="13" t="s">
        <v>440</v>
      </c>
      <c r="O76" s="13">
        <v>1</v>
      </c>
      <c r="P76" s="13">
        <v>1</v>
      </c>
      <c r="Q76" s="13">
        <v>2.5</v>
      </c>
      <c r="R76" s="13" t="s">
        <v>441</v>
      </c>
      <c r="S76" s="13" t="s">
        <v>442</v>
      </c>
      <c r="T76" s="13">
        <v>0</v>
      </c>
      <c r="U76" s="13">
        <v>0</v>
      </c>
      <c r="Y76" s="13">
        <v>150</v>
      </c>
      <c r="Z76" s="13" t="s">
        <v>443</v>
      </c>
      <c r="AB76" s="13">
        <v>0</v>
      </c>
      <c r="AD76" s="13">
        <v>52</v>
      </c>
      <c r="AE76" s="13">
        <v>0</v>
      </c>
      <c r="AG76" s="13">
        <v>0</v>
      </c>
      <c r="AH76" s="13">
        <v>0</v>
      </c>
      <c r="AI76" s="13" t="s">
        <v>178</v>
      </c>
      <c r="AJ76" s="13">
        <v>0</v>
      </c>
      <c r="AK76" s="13">
        <v>0</v>
      </c>
      <c r="AO76" s="13">
        <v>0</v>
      </c>
      <c r="AP76" s="13">
        <v>0</v>
      </c>
      <c r="AT76" s="13">
        <v>0</v>
      </c>
      <c r="AU76" s="13">
        <v>0</v>
      </c>
      <c r="AX76" s="28"/>
      <c r="AY76" s="13">
        <v>300</v>
      </c>
      <c r="AZ76" s="13" t="s">
        <v>444</v>
      </c>
    </row>
    <row r="77" spans="1:52" hidden="1" x14ac:dyDescent="0.35">
      <c r="A77" s="19" t="s">
        <v>75</v>
      </c>
      <c r="B77" s="13" t="s">
        <v>41</v>
      </c>
      <c r="C77" s="13">
        <v>2023</v>
      </c>
      <c r="D77" s="14">
        <v>10</v>
      </c>
      <c r="E77" s="13">
        <v>0</v>
      </c>
      <c r="G77" s="13">
        <v>0</v>
      </c>
      <c r="H77" s="13">
        <v>0</v>
      </c>
      <c r="I77" s="13">
        <v>170</v>
      </c>
      <c r="J77" s="13">
        <v>0</v>
      </c>
      <c r="K77" s="13">
        <v>0</v>
      </c>
      <c r="O77" s="13">
        <v>0</v>
      </c>
      <c r="P77" s="13">
        <v>0</v>
      </c>
      <c r="T77" s="13">
        <v>0</v>
      </c>
      <c r="U77" s="13">
        <v>0</v>
      </c>
      <c r="Y77" s="13">
        <v>100</v>
      </c>
      <c r="Z77" s="13" t="s">
        <v>445</v>
      </c>
      <c r="AB77" s="13">
        <v>0</v>
      </c>
      <c r="AD77" s="13">
        <v>20</v>
      </c>
      <c r="AE77" s="13">
        <v>2</v>
      </c>
      <c r="AF77" s="13">
        <v>2</v>
      </c>
      <c r="AG77" s="13">
        <v>25</v>
      </c>
      <c r="AH77" s="13">
        <v>0</v>
      </c>
      <c r="AI77" s="13">
        <v>100</v>
      </c>
      <c r="AJ77" s="13">
        <v>1</v>
      </c>
      <c r="AK77" s="13">
        <v>0</v>
      </c>
      <c r="AM77" s="13" t="s">
        <v>446</v>
      </c>
      <c r="AN77" s="13" t="s">
        <v>447</v>
      </c>
      <c r="AO77" s="13">
        <v>0</v>
      </c>
      <c r="AP77" s="13">
        <v>0</v>
      </c>
      <c r="AT77" s="13">
        <v>0</v>
      </c>
      <c r="AU77" s="13">
        <v>0</v>
      </c>
      <c r="AX77" s="29"/>
      <c r="AY77" s="13">
        <f>0.75*200+0.25*100</f>
        <v>175</v>
      </c>
      <c r="AZ77" s="13" t="s">
        <v>448</v>
      </c>
    </row>
    <row r="78" spans="1:52" hidden="1" x14ac:dyDescent="0.35">
      <c r="A78" s="19" t="s">
        <v>76</v>
      </c>
      <c r="B78" s="13" t="s">
        <v>41</v>
      </c>
      <c r="C78" s="13">
        <v>2023</v>
      </c>
      <c r="D78" s="14">
        <v>0</v>
      </c>
      <c r="E78" s="13">
        <v>0</v>
      </c>
      <c r="G78" s="13">
        <v>0</v>
      </c>
      <c r="H78" s="13">
        <v>0</v>
      </c>
      <c r="J78" s="13">
        <v>0</v>
      </c>
      <c r="K78" s="13">
        <v>0</v>
      </c>
      <c r="O78" s="13">
        <v>0</v>
      </c>
      <c r="P78" s="13">
        <v>0</v>
      </c>
      <c r="T78" s="13">
        <v>0</v>
      </c>
      <c r="U78" s="13">
        <v>0</v>
      </c>
      <c r="Z78" s="13" t="s">
        <v>449</v>
      </c>
      <c r="AB78" s="13">
        <v>0</v>
      </c>
      <c r="AD78" s="13">
        <v>24</v>
      </c>
      <c r="AE78" s="13">
        <v>0</v>
      </c>
      <c r="AG78" s="13">
        <v>0</v>
      </c>
      <c r="AH78" s="13">
        <v>0</v>
      </c>
      <c r="AI78" s="13"/>
      <c r="AJ78" s="13">
        <v>0</v>
      </c>
      <c r="AK78" s="13">
        <v>0</v>
      </c>
      <c r="AO78" s="13">
        <v>0</v>
      </c>
      <c r="AP78" s="13">
        <v>0</v>
      </c>
      <c r="AT78" s="13">
        <v>0</v>
      </c>
      <c r="AU78" s="13">
        <v>0</v>
      </c>
      <c r="AX78" s="28"/>
      <c r="AZ78" s="13" t="s">
        <v>450</v>
      </c>
    </row>
    <row r="79" spans="1:52" hidden="1" x14ac:dyDescent="0.35">
      <c r="A79" s="19" t="s">
        <v>77</v>
      </c>
      <c r="B79" s="13" t="s">
        <v>41</v>
      </c>
      <c r="C79" s="13">
        <v>2023</v>
      </c>
      <c r="D79" s="14">
        <v>58</v>
      </c>
      <c r="E79" s="13">
        <v>0</v>
      </c>
      <c r="G79" s="13">
        <v>0</v>
      </c>
      <c r="H79" s="13">
        <v>0</v>
      </c>
      <c r="I79" s="13" t="s">
        <v>328</v>
      </c>
      <c r="J79" s="13">
        <v>0</v>
      </c>
      <c r="K79" s="13">
        <v>0</v>
      </c>
      <c r="O79" s="13">
        <v>0</v>
      </c>
      <c r="P79" s="13">
        <v>0</v>
      </c>
      <c r="T79" s="13">
        <v>0</v>
      </c>
      <c r="U79" s="13">
        <v>0</v>
      </c>
      <c r="Y79" s="13" t="s">
        <v>178</v>
      </c>
      <c r="Z79" s="13" t="s">
        <v>451</v>
      </c>
      <c r="AB79" s="13">
        <v>0</v>
      </c>
      <c r="AD79" s="13">
        <v>58</v>
      </c>
      <c r="AE79" s="13">
        <v>0</v>
      </c>
      <c r="AG79" s="13">
        <v>0</v>
      </c>
      <c r="AH79" s="13">
        <v>0</v>
      </c>
      <c r="AI79" s="13" t="s">
        <v>178</v>
      </c>
      <c r="AJ79" s="13">
        <v>0</v>
      </c>
      <c r="AK79" s="13">
        <v>0</v>
      </c>
      <c r="AO79" s="13">
        <v>0</v>
      </c>
      <c r="AP79" s="13">
        <v>0</v>
      </c>
      <c r="AT79" s="13">
        <v>0</v>
      </c>
      <c r="AU79" s="13">
        <v>0</v>
      </c>
      <c r="AX79" s="29"/>
      <c r="AY79" s="13" t="s">
        <v>178</v>
      </c>
      <c r="AZ79" s="13" t="s">
        <v>452</v>
      </c>
    </row>
    <row r="80" spans="1:52" hidden="1" x14ac:dyDescent="0.35">
      <c r="A80" s="19" t="s">
        <v>78</v>
      </c>
      <c r="B80" s="13" t="s">
        <v>41</v>
      </c>
      <c r="C80" s="13">
        <v>2023</v>
      </c>
      <c r="D80" s="14">
        <f>(25+15)/2</f>
        <v>20</v>
      </c>
      <c r="E80" s="13">
        <v>2</v>
      </c>
      <c r="F80" s="13">
        <v>2</v>
      </c>
      <c r="G80" s="13">
        <v>30</v>
      </c>
      <c r="H80" s="13">
        <v>0</v>
      </c>
      <c r="I80" s="13">
        <v>126</v>
      </c>
      <c r="J80" s="13">
        <v>0</v>
      </c>
      <c r="K80" s="13">
        <v>0</v>
      </c>
      <c r="O80" s="13">
        <v>1</v>
      </c>
      <c r="P80" s="13">
        <v>0</v>
      </c>
      <c r="R80" s="13" t="s">
        <v>453</v>
      </c>
      <c r="S80" s="13" t="s">
        <v>454</v>
      </c>
      <c r="T80" s="13">
        <v>1</v>
      </c>
      <c r="U80" s="13">
        <v>0</v>
      </c>
      <c r="W80" s="13" t="s">
        <v>455</v>
      </c>
      <c r="X80" s="13">
        <v>15</v>
      </c>
      <c r="Y80" s="13">
        <v>200</v>
      </c>
      <c r="Z80" s="13" t="s">
        <v>456</v>
      </c>
      <c r="AB80" s="13">
        <v>0</v>
      </c>
      <c r="AD80" s="13">
        <f>(45+55)/2</f>
        <v>50</v>
      </c>
      <c r="AE80" s="13">
        <v>0</v>
      </c>
      <c r="AG80" s="13">
        <v>0</v>
      </c>
      <c r="AH80" s="13">
        <v>0</v>
      </c>
      <c r="AI80" s="13">
        <v>97</v>
      </c>
      <c r="AJ80" s="13">
        <v>0</v>
      </c>
      <c r="AK80" s="13">
        <v>0</v>
      </c>
      <c r="AO80" s="13">
        <v>0</v>
      </c>
      <c r="AP80" s="13">
        <v>0</v>
      </c>
      <c r="AT80" s="13">
        <v>0</v>
      </c>
      <c r="AU80" s="13">
        <v>0</v>
      </c>
      <c r="AX80" s="28"/>
      <c r="AY80" s="13">
        <v>300</v>
      </c>
      <c r="AZ80" s="13" t="s">
        <v>457</v>
      </c>
    </row>
    <row r="81" spans="1:52" hidden="1" x14ac:dyDescent="0.35">
      <c r="A81" s="19" t="s">
        <v>79</v>
      </c>
      <c r="B81" s="13" t="s">
        <v>41</v>
      </c>
      <c r="C81" s="13">
        <v>2023</v>
      </c>
      <c r="D81" s="14">
        <v>25</v>
      </c>
      <c r="E81" s="13">
        <v>5</v>
      </c>
      <c r="F81" s="13">
        <v>2</v>
      </c>
      <c r="G81" s="13">
        <v>10</v>
      </c>
      <c r="H81" s="13">
        <v>0</v>
      </c>
      <c r="I81" s="13">
        <v>105</v>
      </c>
      <c r="J81" s="13">
        <v>1</v>
      </c>
      <c r="K81" s="13">
        <v>1</v>
      </c>
      <c r="L81" s="13">
        <v>2</v>
      </c>
      <c r="M81" s="13" t="s">
        <v>458</v>
      </c>
      <c r="N81" s="13" t="s">
        <v>459</v>
      </c>
      <c r="O81" s="13">
        <v>1</v>
      </c>
      <c r="P81" s="13">
        <v>0</v>
      </c>
      <c r="R81" s="13" t="s">
        <v>460</v>
      </c>
      <c r="S81" s="13">
        <v>2</v>
      </c>
      <c r="T81" s="13">
        <v>0</v>
      </c>
      <c r="U81" s="13">
        <v>0</v>
      </c>
      <c r="Y81" s="13">
        <v>200</v>
      </c>
      <c r="Z81" s="13" t="s">
        <v>461</v>
      </c>
      <c r="AB81" s="13">
        <v>0</v>
      </c>
      <c r="AD81" s="13">
        <v>35</v>
      </c>
      <c r="AE81" s="13">
        <v>0</v>
      </c>
      <c r="AG81" s="13">
        <v>0</v>
      </c>
      <c r="AH81" s="13">
        <v>0</v>
      </c>
      <c r="AI81" s="13" t="s">
        <v>178</v>
      </c>
      <c r="AJ81" s="13">
        <v>0</v>
      </c>
      <c r="AK81" s="13">
        <v>0</v>
      </c>
      <c r="AO81" s="13">
        <v>0</v>
      </c>
      <c r="AP81" s="13">
        <v>0</v>
      </c>
      <c r="AT81" s="13">
        <v>0</v>
      </c>
      <c r="AU81" s="13">
        <v>0</v>
      </c>
      <c r="AX81" s="29"/>
      <c r="AY81" s="13">
        <v>200</v>
      </c>
      <c r="AZ81" s="13" t="s">
        <v>462</v>
      </c>
    </row>
    <row r="82" spans="1:52" hidden="1" x14ac:dyDescent="0.35">
      <c r="A82" s="19" t="s">
        <v>80</v>
      </c>
      <c r="B82" s="13" t="s">
        <v>41</v>
      </c>
      <c r="C82" s="13">
        <v>2023</v>
      </c>
      <c r="D82" s="14">
        <v>58</v>
      </c>
      <c r="E82" s="13">
        <v>0</v>
      </c>
      <c r="G82" s="13">
        <v>0</v>
      </c>
      <c r="H82" s="13">
        <v>0</v>
      </c>
      <c r="I82" s="13" t="s">
        <v>328</v>
      </c>
      <c r="J82" s="13">
        <v>0</v>
      </c>
      <c r="K82" s="13">
        <v>0</v>
      </c>
      <c r="O82" s="13">
        <v>0</v>
      </c>
      <c r="P82" s="13">
        <v>0</v>
      </c>
      <c r="T82" s="13">
        <v>0</v>
      </c>
      <c r="U82" s="13">
        <v>0</v>
      </c>
      <c r="Y82" s="13" t="s">
        <v>178</v>
      </c>
      <c r="Z82" s="13" t="s">
        <v>463</v>
      </c>
      <c r="AB82" s="13">
        <v>0</v>
      </c>
      <c r="AD82" s="13">
        <v>0</v>
      </c>
      <c r="AE82" s="13">
        <v>0</v>
      </c>
      <c r="AG82" s="13">
        <v>0</v>
      </c>
      <c r="AH82" s="13">
        <v>0</v>
      </c>
      <c r="AI82" s="13" t="s">
        <v>178</v>
      </c>
      <c r="AJ82" s="13">
        <v>0</v>
      </c>
      <c r="AK82" s="13">
        <v>0</v>
      </c>
      <c r="AO82" s="13">
        <v>0</v>
      </c>
      <c r="AP82" s="13">
        <v>0</v>
      </c>
      <c r="AT82" s="13">
        <v>0</v>
      </c>
      <c r="AU82" s="13">
        <v>0</v>
      </c>
      <c r="AX82" s="28"/>
      <c r="AY82" s="13" t="s">
        <v>178</v>
      </c>
      <c r="AZ82" s="13" t="s">
        <v>464</v>
      </c>
    </row>
    <row r="83" spans="1:52" hidden="1" x14ac:dyDescent="0.35">
      <c r="A83" s="19" t="s">
        <v>81</v>
      </c>
      <c r="B83" s="13" t="s">
        <v>41</v>
      </c>
      <c r="C83" s="13">
        <v>2023</v>
      </c>
      <c r="D83" s="14">
        <f>1.5/(1.5+1.5+5.3)*100</f>
        <v>18.072289156626503</v>
      </c>
      <c r="E83" s="13">
        <v>1</v>
      </c>
      <c r="F83" s="13">
        <v>2</v>
      </c>
      <c r="G83" s="13">
        <v>15</v>
      </c>
      <c r="H83" s="13">
        <v>0</v>
      </c>
      <c r="I83" s="13">
        <f>0.3*133+0.7*150</f>
        <v>144.9</v>
      </c>
      <c r="J83" s="13">
        <v>0</v>
      </c>
      <c r="K83" s="13">
        <v>0</v>
      </c>
      <c r="O83" s="13">
        <v>1</v>
      </c>
      <c r="P83" s="13">
        <v>0</v>
      </c>
      <c r="R83" s="13" t="s">
        <v>465</v>
      </c>
      <c r="S83" s="13">
        <v>15</v>
      </c>
      <c r="T83" s="13">
        <v>1</v>
      </c>
      <c r="U83" s="13">
        <v>0</v>
      </c>
      <c r="W83" s="13" t="s">
        <v>465</v>
      </c>
      <c r="X83" s="13">
        <v>15</v>
      </c>
      <c r="Y83" s="13">
        <v>150</v>
      </c>
      <c r="Z83" s="13" t="s">
        <v>466</v>
      </c>
      <c r="AB83" s="13">
        <v>0</v>
      </c>
      <c r="AD83" s="13">
        <f>1.5/(1.5+1.5+5.3)*100</f>
        <v>18.072289156626503</v>
      </c>
      <c r="AE83" s="13">
        <v>1</v>
      </c>
      <c r="AI83" s="13">
        <v>26</v>
      </c>
      <c r="AJ83" s="13">
        <v>0</v>
      </c>
      <c r="AK83" s="13">
        <v>0</v>
      </c>
      <c r="AO83" s="13">
        <v>0</v>
      </c>
      <c r="AP83" s="13">
        <v>0</v>
      </c>
      <c r="AT83" s="13">
        <v>0</v>
      </c>
      <c r="AU83" s="13">
        <v>0</v>
      </c>
      <c r="AX83" s="29"/>
      <c r="AY83" s="13">
        <v>150</v>
      </c>
      <c r="AZ83" s="13" t="s">
        <v>467</v>
      </c>
    </row>
    <row r="84" spans="1:52" hidden="1" x14ac:dyDescent="0.35">
      <c r="A84" s="19" t="s">
        <v>82</v>
      </c>
      <c r="B84" s="13" t="s">
        <v>41</v>
      </c>
      <c r="C84" s="13">
        <v>2023</v>
      </c>
      <c r="D84" s="14">
        <f>60/(100+30+60+90+20)*100</f>
        <v>20</v>
      </c>
      <c r="E84" s="13">
        <v>0</v>
      </c>
      <c r="F84" s="13">
        <v>1</v>
      </c>
      <c r="G84" s="13">
        <v>0</v>
      </c>
      <c r="H84" s="13">
        <v>0</v>
      </c>
      <c r="I84" s="13">
        <v>151.01</v>
      </c>
      <c r="J84" s="13">
        <v>0</v>
      </c>
      <c r="K84" s="13">
        <v>0</v>
      </c>
      <c r="O84" s="13">
        <v>0</v>
      </c>
      <c r="P84" s="13">
        <v>0</v>
      </c>
      <c r="T84" s="13">
        <v>0</v>
      </c>
      <c r="U84" s="13">
        <v>0</v>
      </c>
      <c r="Y84" s="13">
        <v>200</v>
      </c>
      <c r="Z84" s="13" t="s">
        <v>468</v>
      </c>
      <c r="AB84" s="13">
        <v>0</v>
      </c>
      <c r="AD84" s="13">
        <f>(90+20)/(100+30+60+90+20)*100</f>
        <v>36.666666666666664</v>
      </c>
      <c r="AE84" s="13">
        <v>2</v>
      </c>
      <c r="AF84" s="13">
        <v>1</v>
      </c>
      <c r="AG84" s="13">
        <f>20/(90+20)*100</f>
        <v>18.181818181818183</v>
      </c>
      <c r="AH84" s="13">
        <v>0</v>
      </c>
      <c r="AI84" s="13">
        <v>140</v>
      </c>
      <c r="AJ84" s="13">
        <v>1</v>
      </c>
      <c r="AK84" s="13">
        <v>1</v>
      </c>
      <c r="AL84" s="13">
        <f>18.18/2</f>
        <v>9.09</v>
      </c>
      <c r="AO84" s="13">
        <v>0</v>
      </c>
      <c r="AP84" s="13">
        <v>0</v>
      </c>
      <c r="AT84" s="13">
        <v>0</v>
      </c>
      <c r="AU84" s="13">
        <v>0</v>
      </c>
      <c r="AX84" s="28"/>
      <c r="AY84" s="13">
        <f>(250*90+150*20)/110</f>
        <v>231.81818181818181</v>
      </c>
      <c r="AZ84" s="13" t="s">
        <v>469</v>
      </c>
    </row>
    <row r="85" spans="1:52" hidden="1" x14ac:dyDescent="0.35">
      <c r="A85" s="19" t="s">
        <v>83</v>
      </c>
      <c r="B85" s="13" t="s">
        <v>41</v>
      </c>
      <c r="C85" s="13">
        <v>2023</v>
      </c>
      <c r="D85" s="14">
        <f>(26.5+24)/2</f>
        <v>25.25</v>
      </c>
      <c r="E85" s="13">
        <v>0</v>
      </c>
      <c r="G85" s="13">
        <v>0</v>
      </c>
      <c r="H85" s="13">
        <v>0</v>
      </c>
      <c r="I85" s="13">
        <v>108.41</v>
      </c>
      <c r="J85" s="13">
        <v>0</v>
      </c>
      <c r="K85" s="13">
        <v>0</v>
      </c>
      <c r="O85" s="13">
        <v>0</v>
      </c>
      <c r="P85" s="13">
        <v>0</v>
      </c>
      <c r="T85" s="13">
        <v>0</v>
      </c>
      <c r="U85" s="13">
        <v>0</v>
      </c>
      <c r="Y85" s="13">
        <v>200</v>
      </c>
      <c r="Z85" s="13" t="s">
        <v>470</v>
      </c>
      <c r="AB85" s="13">
        <v>0</v>
      </c>
      <c r="AD85" s="13">
        <f>(14*2+13.8*2)/2</f>
        <v>27.8</v>
      </c>
      <c r="AE85" s="13">
        <v>0</v>
      </c>
      <c r="AG85" s="13">
        <v>0</v>
      </c>
      <c r="AH85" s="13">
        <v>0</v>
      </c>
      <c r="AI85" s="13">
        <v>71.099999999999994</v>
      </c>
      <c r="AJ85" s="13">
        <v>0</v>
      </c>
      <c r="AK85" s="13">
        <v>0</v>
      </c>
      <c r="AO85" s="13">
        <v>0</v>
      </c>
      <c r="AP85" s="13">
        <v>0</v>
      </c>
      <c r="AT85" s="13">
        <v>0</v>
      </c>
      <c r="AU85" s="13">
        <v>0</v>
      </c>
      <c r="AX85" s="29"/>
      <c r="AY85" s="13">
        <v>300</v>
      </c>
      <c r="AZ85" s="13" t="s">
        <v>471</v>
      </c>
    </row>
    <row r="86" spans="1:52" hidden="1" x14ac:dyDescent="0.35">
      <c r="A86" s="19" t="s">
        <v>84</v>
      </c>
      <c r="B86" s="13" t="s">
        <v>41</v>
      </c>
      <c r="C86" s="13">
        <v>2023</v>
      </c>
      <c r="D86" s="14">
        <f>150/880*100</f>
        <v>17.045454545454543</v>
      </c>
      <c r="E86" s="13">
        <v>1</v>
      </c>
      <c r="F86" s="13">
        <v>2</v>
      </c>
      <c r="G86" s="13">
        <v>10</v>
      </c>
      <c r="H86" s="13">
        <v>0</v>
      </c>
      <c r="I86" s="13">
        <f>25/150*100</f>
        <v>16.666666666666664</v>
      </c>
      <c r="J86" s="13">
        <v>0</v>
      </c>
      <c r="K86" s="13">
        <v>0</v>
      </c>
      <c r="O86" s="13">
        <v>0</v>
      </c>
      <c r="P86" s="13">
        <v>0</v>
      </c>
      <c r="T86" s="13">
        <v>1</v>
      </c>
      <c r="U86" s="13">
        <v>0</v>
      </c>
      <c r="W86" s="13" t="s">
        <v>472</v>
      </c>
      <c r="X86" s="13">
        <v>10</v>
      </c>
      <c r="Y86" s="13">
        <f>200/150*100</f>
        <v>133.33333333333331</v>
      </c>
      <c r="Z86" s="13" t="s">
        <v>473</v>
      </c>
      <c r="AB86" s="13">
        <v>0</v>
      </c>
      <c r="AD86" s="13">
        <f>250/880*100</f>
        <v>28.40909090909091</v>
      </c>
      <c r="AE86" s="13">
        <v>3</v>
      </c>
      <c r="AF86" s="13">
        <v>2</v>
      </c>
      <c r="AG86" s="13">
        <v>20</v>
      </c>
      <c r="AH86" s="13">
        <v>0</v>
      </c>
      <c r="AI86" s="13">
        <v>0</v>
      </c>
      <c r="AJ86" s="13">
        <v>1</v>
      </c>
      <c r="AK86" s="13">
        <v>1</v>
      </c>
      <c r="AL86" s="13">
        <f>0.2*40</f>
        <v>8</v>
      </c>
      <c r="AO86" s="13">
        <v>1</v>
      </c>
      <c r="AP86" s="13">
        <v>0</v>
      </c>
      <c r="AR86" s="13" t="s">
        <v>474</v>
      </c>
      <c r="AS86" s="13" t="s">
        <v>475</v>
      </c>
      <c r="AT86" s="13">
        <v>0</v>
      </c>
      <c r="AU86" s="13">
        <v>0</v>
      </c>
      <c r="AX86" s="28"/>
      <c r="AY86" s="13">
        <v>200</v>
      </c>
      <c r="AZ86" s="13" t="s">
        <v>476</v>
      </c>
    </row>
    <row r="87" spans="1:52" hidden="1" x14ac:dyDescent="0.35">
      <c r="A87" s="19" t="s">
        <v>85</v>
      </c>
      <c r="B87" s="13" t="s">
        <v>41</v>
      </c>
      <c r="C87" s="13">
        <v>2023</v>
      </c>
      <c r="D87" s="14">
        <v>24</v>
      </c>
      <c r="E87" s="13">
        <v>2</v>
      </c>
      <c r="F87" s="13">
        <v>1</v>
      </c>
      <c r="G87" s="13">
        <f>100/5*2</f>
        <v>40</v>
      </c>
      <c r="H87" s="13">
        <v>1</v>
      </c>
      <c r="I87" s="13">
        <v>200</v>
      </c>
      <c r="J87" s="13">
        <v>1</v>
      </c>
      <c r="K87" s="13">
        <v>0</v>
      </c>
      <c r="M87" s="13" t="s">
        <v>477</v>
      </c>
      <c r="O87" s="13">
        <v>1</v>
      </c>
      <c r="P87" s="13">
        <v>0</v>
      </c>
      <c r="R87" s="13" t="s">
        <v>478</v>
      </c>
      <c r="T87" s="13">
        <v>0</v>
      </c>
      <c r="U87" s="13">
        <v>0</v>
      </c>
      <c r="Y87" s="13">
        <v>200</v>
      </c>
      <c r="Z87" s="13" t="s">
        <v>479</v>
      </c>
      <c r="AB87" s="13">
        <v>0</v>
      </c>
      <c r="AD87" s="13">
        <v>36</v>
      </c>
      <c r="AE87" s="13">
        <v>2</v>
      </c>
      <c r="AF87" s="13">
        <v>1</v>
      </c>
      <c r="AG87" s="13">
        <f>100/5*2</f>
        <v>40</v>
      </c>
      <c r="AH87" s="13">
        <v>1</v>
      </c>
      <c r="AI87" s="13">
        <v>200</v>
      </c>
      <c r="AJ87" s="13">
        <v>1</v>
      </c>
      <c r="AK87" s="13">
        <v>0</v>
      </c>
      <c r="AM87" s="13" t="s">
        <v>477</v>
      </c>
      <c r="AO87" s="13">
        <v>1</v>
      </c>
      <c r="AP87" s="13">
        <v>0</v>
      </c>
      <c r="AR87" s="13" t="s">
        <v>478</v>
      </c>
      <c r="AT87" s="13">
        <v>0</v>
      </c>
      <c r="AU87" s="13">
        <v>0</v>
      </c>
      <c r="AX87" s="29"/>
      <c r="AY87" s="13">
        <v>400</v>
      </c>
      <c r="AZ87" s="13" t="s">
        <v>480</v>
      </c>
    </row>
    <row r="88" spans="1:52" hidden="1" x14ac:dyDescent="0.35">
      <c r="A88" s="19" t="s">
        <v>86</v>
      </c>
      <c r="B88" s="13" t="s">
        <v>41</v>
      </c>
      <c r="C88" s="13">
        <v>2023</v>
      </c>
      <c r="D88" s="14">
        <f>((30+47)/2)*0.65</f>
        <v>25.025000000000002</v>
      </c>
      <c r="E88" s="13">
        <v>1</v>
      </c>
      <c r="F88" s="13">
        <v>1</v>
      </c>
      <c r="G88" s="13">
        <f>100/6</f>
        <v>16.666666666666668</v>
      </c>
      <c r="H88" s="13">
        <v>1</v>
      </c>
      <c r="I88" s="13">
        <f>144*1.1625</f>
        <v>167.4</v>
      </c>
      <c r="J88" s="13">
        <v>0</v>
      </c>
      <c r="K88" s="13">
        <v>0</v>
      </c>
      <c r="O88" s="13">
        <v>0</v>
      </c>
      <c r="P88" s="13">
        <v>0</v>
      </c>
      <c r="T88" s="13">
        <v>0</v>
      </c>
      <c r="U88" s="13">
        <v>0</v>
      </c>
      <c r="Y88" s="13">
        <v>200</v>
      </c>
      <c r="Z88" s="13" t="s">
        <v>481</v>
      </c>
      <c r="AB88" s="13">
        <v>0</v>
      </c>
      <c r="AD88" s="13">
        <f>((53+70)/2)*0.65</f>
        <v>39.975000000000001</v>
      </c>
      <c r="AE88" s="13">
        <v>2</v>
      </c>
      <c r="AF88" s="13">
        <v>2</v>
      </c>
      <c r="AG88" s="13">
        <v>20</v>
      </c>
      <c r="AH88" s="13">
        <v>0</v>
      </c>
      <c r="AI88" s="13">
        <v>0</v>
      </c>
      <c r="AJ88" s="13">
        <v>0</v>
      </c>
      <c r="AK88" s="13">
        <v>0</v>
      </c>
      <c r="AO88" s="13">
        <v>1</v>
      </c>
      <c r="AP88" s="13">
        <v>0</v>
      </c>
      <c r="AR88" s="13" t="s">
        <v>482</v>
      </c>
      <c r="AS88" s="13" t="s">
        <v>483</v>
      </c>
      <c r="AT88" s="13">
        <v>1</v>
      </c>
      <c r="AU88" s="13">
        <v>0</v>
      </c>
      <c r="AW88" s="13" t="s">
        <v>484</v>
      </c>
      <c r="AX88" s="28">
        <v>10</v>
      </c>
      <c r="AY88" s="13">
        <v>200</v>
      </c>
      <c r="AZ88" s="13" t="s">
        <v>485</v>
      </c>
    </row>
    <row r="89" spans="1:52" hidden="1" x14ac:dyDescent="0.35">
      <c r="A89" s="19" t="s">
        <v>87</v>
      </c>
      <c r="B89" s="13" t="s">
        <v>41</v>
      </c>
      <c r="C89" s="13">
        <v>2023</v>
      </c>
      <c r="D89" s="14"/>
      <c r="AI89" s="13"/>
      <c r="AX89" s="29"/>
    </row>
    <row r="90" spans="1:52" hidden="1" x14ac:dyDescent="0.35">
      <c r="A90" s="19" t="s">
        <v>88</v>
      </c>
      <c r="B90" s="13" t="s">
        <v>41</v>
      </c>
      <c r="C90" s="27" t="s">
        <v>46</v>
      </c>
      <c r="D90" s="14">
        <f>417/1717*100</f>
        <v>24.286546301688993</v>
      </c>
      <c r="E90" s="13">
        <v>0</v>
      </c>
      <c r="G90" s="13">
        <v>0</v>
      </c>
      <c r="H90" s="13">
        <v>0</v>
      </c>
      <c r="I90" s="13">
        <v>71.459999999999994</v>
      </c>
      <c r="J90" s="13">
        <v>0</v>
      </c>
      <c r="K90" s="13">
        <v>0</v>
      </c>
      <c r="O90" s="13">
        <v>0</v>
      </c>
      <c r="P90" s="13">
        <v>0</v>
      </c>
      <c r="T90" s="13">
        <v>0</v>
      </c>
      <c r="U90" s="13">
        <v>0</v>
      </c>
      <c r="Y90" s="13">
        <v>200</v>
      </c>
      <c r="Z90" s="13" t="s">
        <v>486</v>
      </c>
      <c r="AB90" s="13">
        <v>0</v>
      </c>
      <c r="AD90" s="13">
        <f>667/1717*100</f>
        <v>38.846825859056494</v>
      </c>
      <c r="AE90" s="13">
        <v>2</v>
      </c>
      <c r="AF90" s="13">
        <v>2</v>
      </c>
      <c r="AG90" s="13">
        <v>30</v>
      </c>
      <c r="AH90" s="13">
        <v>0</v>
      </c>
      <c r="AI90" s="13">
        <v>105.15</v>
      </c>
      <c r="AJ90" s="13">
        <v>0</v>
      </c>
      <c r="AK90" s="13">
        <v>0</v>
      </c>
      <c r="AO90" s="13">
        <v>1</v>
      </c>
      <c r="AP90" s="13">
        <v>1</v>
      </c>
      <c r="AQ90" s="13">
        <v>15</v>
      </c>
      <c r="AR90" s="13" t="s">
        <v>487</v>
      </c>
      <c r="AS90" s="13">
        <v>15</v>
      </c>
      <c r="AT90" s="13">
        <v>1</v>
      </c>
      <c r="AU90" s="13">
        <v>0</v>
      </c>
      <c r="AW90" s="13" t="s">
        <v>487</v>
      </c>
      <c r="AX90" s="28">
        <v>15</v>
      </c>
      <c r="AY90" s="13">
        <v>200</v>
      </c>
      <c r="AZ90" s="13" t="s">
        <v>488</v>
      </c>
    </row>
    <row r="91" spans="1:52" hidden="1" x14ac:dyDescent="0.35">
      <c r="A91" s="19" t="s">
        <v>89</v>
      </c>
      <c r="B91" s="13" t="s">
        <v>41</v>
      </c>
      <c r="C91" s="13">
        <v>2023</v>
      </c>
      <c r="D91" s="14">
        <f>(10+30)/2</f>
        <v>20</v>
      </c>
      <c r="E91" s="13">
        <v>2</v>
      </c>
      <c r="F91" s="13">
        <v>2</v>
      </c>
      <c r="G91" s="13">
        <v>30</v>
      </c>
      <c r="H91" s="13">
        <v>0</v>
      </c>
      <c r="I91" s="13">
        <v>100.1</v>
      </c>
      <c r="J91" s="13">
        <v>1</v>
      </c>
      <c r="K91" s="13">
        <v>0</v>
      </c>
      <c r="M91" s="13" t="s">
        <v>489</v>
      </c>
      <c r="N91" s="13">
        <v>10</v>
      </c>
      <c r="O91" s="13">
        <v>1</v>
      </c>
      <c r="P91" s="13">
        <v>0</v>
      </c>
      <c r="R91" s="13" t="s">
        <v>490</v>
      </c>
      <c r="S91" s="13">
        <v>20</v>
      </c>
      <c r="T91" s="13">
        <v>0</v>
      </c>
      <c r="U91" s="13">
        <v>0</v>
      </c>
      <c r="Y91" s="13">
        <v>120</v>
      </c>
      <c r="Z91" s="13" t="s">
        <v>491</v>
      </c>
      <c r="AB91" s="13">
        <v>0</v>
      </c>
      <c r="AD91" s="13">
        <f>(40+70)/2</f>
        <v>55</v>
      </c>
      <c r="AE91" s="13">
        <v>0</v>
      </c>
      <c r="AG91" s="13">
        <v>0</v>
      </c>
      <c r="AH91" s="13">
        <v>0</v>
      </c>
      <c r="AI91" s="13" t="s">
        <v>178</v>
      </c>
      <c r="AJ91" s="13">
        <v>0</v>
      </c>
      <c r="AK91" s="13">
        <v>0</v>
      </c>
      <c r="AO91" s="13">
        <v>0</v>
      </c>
      <c r="AP91" s="13">
        <v>0</v>
      </c>
      <c r="AT91" s="13">
        <v>0</v>
      </c>
      <c r="AU91" s="13">
        <v>0</v>
      </c>
      <c r="AX91" s="29"/>
      <c r="AY91" s="13">
        <v>200</v>
      </c>
      <c r="AZ91" s="13" t="s">
        <v>492</v>
      </c>
    </row>
    <row r="92" spans="1:52" hidden="1" x14ac:dyDescent="0.35">
      <c r="A92" s="19" t="s">
        <v>90</v>
      </c>
      <c r="B92" s="13" t="s">
        <v>41</v>
      </c>
      <c r="C92" s="13">
        <v>2023</v>
      </c>
      <c r="D92" s="14">
        <f>(16+21)/2</f>
        <v>18.5</v>
      </c>
      <c r="E92" s="13">
        <v>1</v>
      </c>
      <c r="F92" s="13">
        <v>1</v>
      </c>
      <c r="G92" s="13">
        <v>33.33</v>
      </c>
      <c r="H92" s="13">
        <v>0</v>
      </c>
      <c r="I92" s="13">
        <v>147.19999999999999</v>
      </c>
      <c r="J92" s="13">
        <v>0</v>
      </c>
      <c r="K92" s="13">
        <v>0</v>
      </c>
      <c r="O92" s="13">
        <v>1</v>
      </c>
      <c r="P92" s="13">
        <v>0</v>
      </c>
      <c r="R92" s="13" t="s">
        <v>493</v>
      </c>
      <c r="T92" s="13">
        <v>0</v>
      </c>
      <c r="U92" s="13">
        <v>0</v>
      </c>
      <c r="Y92" s="13">
        <v>200</v>
      </c>
      <c r="Z92" s="13" t="s">
        <v>494</v>
      </c>
      <c r="AB92" s="13">
        <v>0</v>
      </c>
      <c r="AD92" s="13">
        <f>(37+42)/2</f>
        <v>39.5</v>
      </c>
      <c r="AE92" s="13">
        <v>5</v>
      </c>
      <c r="AF92" s="13">
        <v>1</v>
      </c>
      <c r="AG92" s="13">
        <v>100</v>
      </c>
      <c r="AH92" s="13">
        <v>0</v>
      </c>
      <c r="AI92" s="13" t="s">
        <v>178</v>
      </c>
      <c r="AJ92" s="13">
        <v>1</v>
      </c>
      <c r="AK92" s="13">
        <v>1</v>
      </c>
      <c r="AM92" s="13" t="s">
        <v>495</v>
      </c>
      <c r="AO92" s="13">
        <v>1</v>
      </c>
      <c r="AP92" s="13">
        <v>1</v>
      </c>
      <c r="AR92" s="13" t="s">
        <v>496</v>
      </c>
      <c r="AT92" s="13">
        <v>1</v>
      </c>
      <c r="AU92" s="13">
        <v>0</v>
      </c>
      <c r="AW92" s="13" t="s">
        <v>497</v>
      </c>
      <c r="AY92" s="13">
        <v>200</v>
      </c>
      <c r="AZ92" s="13" t="s">
        <v>498</v>
      </c>
    </row>
    <row r="93" spans="1:52" hidden="1" x14ac:dyDescent="0.35">
      <c r="A93" s="19" t="s">
        <v>91</v>
      </c>
      <c r="B93" s="13" t="s">
        <v>41</v>
      </c>
      <c r="C93" s="13">
        <v>2023</v>
      </c>
      <c r="D93" s="14">
        <f>293233/1854677*100</f>
        <v>15.810461875571866</v>
      </c>
      <c r="E93" s="13">
        <v>0</v>
      </c>
      <c r="G93" s="13">
        <v>0</v>
      </c>
      <c r="H93" s="13">
        <v>0</v>
      </c>
      <c r="I93" s="13">
        <v>48</v>
      </c>
      <c r="J93" s="13">
        <v>0</v>
      </c>
      <c r="K93" s="13">
        <v>0</v>
      </c>
      <c r="O93" s="13">
        <v>0</v>
      </c>
      <c r="P93" s="13">
        <v>0</v>
      </c>
      <c r="T93" s="13">
        <v>0</v>
      </c>
      <c r="U93" s="13">
        <v>0</v>
      </c>
      <c r="Y93" s="13">
        <v>144</v>
      </c>
      <c r="Z93" s="13" t="s">
        <v>499</v>
      </c>
      <c r="AB93" s="13">
        <v>0</v>
      </c>
      <c r="AD93" s="13">
        <f>756234/1854677*100</f>
        <v>40.774431343031701</v>
      </c>
      <c r="AE93" s="13">
        <v>2</v>
      </c>
      <c r="AF93" s="13">
        <v>2</v>
      </c>
      <c r="AG93" s="13">
        <v>10</v>
      </c>
      <c r="AH93" s="13">
        <v>0</v>
      </c>
      <c r="AI93" s="13">
        <v>59</v>
      </c>
      <c r="AJ93" s="13">
        <v>1</v>
      </c>
      <c r="AK93" s="13">
        <v>1</v>
      </c>
      <c r="AL93" s="13">
        <v>5</v>
      </c>
      <c r="AO93" s="13">
        <v>1</v>
      </c>
      <c r="AP93" s="13">
        <v>0</v>
      </c>
      <c r="AR93" s="13" t="s">
        <v>500</v>
      </c>
      <c r="AS93" s="13">
        <v>5</v>
      </c>
      <c r="AT93" s="13">
        <v>0</v>
      </c>
      <c r="AU93" s="13">
        <v>0</v>
      </c>
      <c r="AY93" s="13">
        <v>144</v>
      </c>
      <c r="AZ93" s="13" t="s">
        <v>501</v>
      </c>
    </row>
  </sheetData>
  <pageMargins left="0.7" right="0.7" top="0.75" bottom="0.75" header="0.3" footer="0.3"/>
  <pageSetup paperSize="9" orientation="portrait" verticalDpi="0"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02_data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Kruppa</dc:creator>
  <cp:keywords/>
  <dc:description/>
  <cp:lastModifiedBy>Sebastian Fröhle</cp:lastModifiedBy>
  <cp:revision/>
  <dcterms:created xsi:type="dcterms:W3CDTF">2024-05-22T14:12:04Z</dcterms:created>
  <dcterms:modified xsi:type="dcterms:W3CDTF">2026-06-19T11:52:02Z</dcterms:modified>
  <cp:category/>
  <cp:contentStatus/>
</cp:coreProperties>
</file>