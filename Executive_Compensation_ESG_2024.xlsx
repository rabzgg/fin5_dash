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umde-my.sharepoint.com/personal/l_ballof_tum_de/Documents/TUM Science - Hackathon/03 Daten/2024/"/>
    </mc:Choice>
  </mc:AlternateContent>
  <xr:revisionPtr revIDLastSave="102" documentId="13_ncr:1_{EF67E715-126E-DB43-B637-126203AC9B4D}" xr6:coauthVersionLast="47" xr6:coauthVersionMax="47" xr10:uidLastSave="{1B0364EF-0BA3-42CE-B7EB-4294DE60A1CF}"/>
  <bookViews>
    <workbookView xWindow="-28920" yWindow="-120" windowWidth="29040" windowHeight="17520" xr2:uid="{2D846D2A-CF62-A14A-9128-AE2ED7EEC69C}"/>
  </bookViews>
  <sheets>
    <sheet name="02_Data"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AI24" i="4"/>
  <c r="G38" i="4" l="1"/>
  <c r="AD30" i="4"/>
  <c r="AD35" i="4" l="1"/>
  <c r="D35" i="4"/>
  <c r="AY36" i="4" l="1"/>
  <c r="AI37" i="4"/>
  <c r="AD18" i="4" l="1"/>
  <c r="D18" i="4"/>
  <c r="G16" i="4"/>
  <c r="AD12" i="4"/>
  <c r="D12" i="4"/>
  <c r="AI6" i="4"/>
  <c r="AD13" i="4" l="1"/>
  <c r="AD10" i="4"/>
  <c r="D13" i="4"/>
  <c r="D9" i="4"/>
  <c r="G39" i="4"/>
  <c r="I41" i="4"/>
  <c r="AD36" i="4"/>
  <c r="D36" i="4"/>
  <c r="I34" i="4"/>
  <c r="G34" i="4"/>
  <c r="AI31" i="4"/>
  <c r="I31" i="4"/>
  <c r="G27" i="4"/>
  <c r="X16" i="4" l="1"/>
  <c r="AI12" i="4"/>
  <c r="AG12" i="4"/>
  <c r="G12" i="4"/>
  <c r="G11" i="4" l="1"/>
  <c r="AD24" i="4"/>
  <c r="D24" i="4"/>
  <c r="I24" i="4"/>
  <c r="AI15" i="4"/>
  <c r="AD15" i="4"/>
  <c r="D15" i="4"/>
  <c r="AX13" i="4"/>
  <c r="AS13" i="4"/>
  <c r="AN13" i="4"/>
  <c r="AL13" i="4"/>
  <c r="I12" i="4"/>
  <c r="AI10" i="4"/>
  <c r="G10" i="4"/>
  <c r="I10" i="4"/>
  <c r="I11" i="4"/>
  <c r="D10" i="4"/>
  <c r="G8" i="4"/>
  <c r="AL7" i="4"/>
  <c r="X4" i="4" l="1"/>
  <c r="Q4" i="4"/>
  <c r="G4" i="4"/>
  <c r="I36" i="4"/>
  <c r="AL37" i="4"/>
  <c r="G37" i="4"/>
  <c r="N37" i="4"/>
  <c r="AX39" i="4"/>
  <c r="I39" i="4"/>
  <c r="D41" i="4"/>
  <c r="I43" i="4"/>
  <c r="AQ42" i="4"/>
  <c r="I30" i="4"/>
  <c r="D30" i="4"/>
  <c r="G9" i="4"/>
  <c r="AD9" i="4"/>
  <c r="S5" i="4"/>
  <c r="S7" i="4"/>
  <c r="S20" i="4"/>
  <c r="Q7" i="4"/>
  <c r="G7" i="4"/>
  <c r="G5" i="4"/>
  <c r="I5" i="4"/>
  <c r="G6" i="4" l="1"/>
  <c r="AG7" i="4"/>
  <c r="Q10" i="4"/>
  <c r="D14" i="4"/>
  <c r="AD14" i="4"/>
  <c r="AL14" i="4"/>
  <c r="AS14" i="4"/>
  <c r="AX14" i="4"/>
  <c r="D17" i="4"/>
  <c r="AD17" i="4"/>
  <c r="L18" i="4"/>
  <c r="N18" i="4"/>
  <c r="AG18" i="4"/>
  <c r="AQ18" i="4"/>
  <c r="AS18" i="4"/>
  <c r="AL19" i="4"/>
  <c r="Q20" i="4"/>
  <c r="D22" i="4"/>
  <c r="AD22" i="4"/>
  <c r="G24" i="4"/>
  <c r="AL33" i="4"/>
  <c r="AS33" i="4"/>
  <c r="AL3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tc={D5220FFE-F2D0-394F-B82C-A2B6A8A50A7C}</author>
    <author>tc={E431D515-25B2-1544-A7E1-C1281906C927}</author>
    <author>tc={B2207B6C-3552-E84C-9A60-8C89BA272FAF}</author>
    <author>Samuel Kruppa</author>
    <author>tc={8ECCA39D-C57A-524D-BF85-5563CDD15E8F}</author>
    <author>tc={5EC59238-29AC-5740-AD24-BDD1B5EE451E}</author>
    <author>tc={D58C7EFD-00B1-EA43-88C7-FB7533F73085}</author>
    <author>tc={25F0928C-2A41-7145-971C-7D13CC40AABA}</author>
    <author>tc={D3FA98E5-FAD5-434A-ACF3-CF278C756579}</author>
    <author>tc={D8C74950-081F-2743-92A9-8961CD8C642E}</author>
    <author>tc={581E15AA-C373-2E44-BAA8-6B20B64D90DF}</author>
    <author>tc={11BBB5FD-B35E-734E-B8A6-EE87927BA3A3}</author>
    <author>tc={492A9628-74EC-DA45-8781-9394233BFF21}</author>
    <author>tc={C17C56F7-BF1D-584F-AB62-1615B97FC4AE}</author>
    <author>tc={0453E348-8E55-E944-A461-0BA5E041C1BD}</author>
    <author>tc={E17EB428-0142-614E-B8AA-8AF2D2CA2AB0}</author>
    <author>tc={790806E4-CC8E-4E40-9FEE-CE3761DC281D}</author>
    <author>tc={609050E4-211F-C045-B026-FD9F7858EDB3}</author>
    <author>tc={8E80F576-D6F5-FA41-989B-9BD9FC1F1571}</author>
    <author>tc={1BBDFC5A-8239-6F41-BE5A-15B09AF2C91A}</author>
    <author>tc={FC1BD0ED-26E1-2E45-8D11-563EF2E3F1C0}</author>
    <author>tc={A27FCBF2-F8DD-DD49-B9A0-5C23FAE23342}</author>
    <author>tc={52A95BED-3EF3-464B-9AAF-7D5B2F41B894}</author>
    <author>tc={A871795D-6142-5B4E-8BFD-CE064CC44E1D}</author>
    <author>tc={C0738721-4B3A-E347-A512-0FB440AC5229}</author>
    <author>tc={F70C66F7-F1B1-1146-B9A5-1C65EA608F39}</author>
    <author>tc={AF892BFB-31A1-7547-B7A0-24F16EF0526E}</author>
    <author>tc={B3C13483-59D2-9443-98B5-E5B5328D015C}</author>
    <author>tc={16C25F5B-4EAF-344A-BA48-216B6013C841}</author>
    <author>tc={7ADAFA6D-E7EA-594E-AFF4-3FB19B6976DC}</author>
    <author>tc={19E001F3-59F3-2343-8162-C17D7A168E02}</author>
    <author>tc={FBD9023A-4B18-3546-9D83-9DCF926300BD}</author>
    <author>tc={58ED3AAC-6E52-7E47-9008-283AC4A8B5CF}</author>
    <author>tc={AD7996B3-2B51-3946-9BD7-884F258BD5AE}</author>
    <author>tc={1872A48D-2A8A-5347-A3A2-128CE30870D3}</author>
    <author>tc={89844B31-AD12-3344-8F5C-D8F51B62EED0}</author>
    <author>tc={FC9E0909-B376-1046-9988-48455E6EF764}</author>
    <author>tc={E000038A-C205-8646-9E6F-709E020B472B}</author>
    <author>tc={297295B7-FA96-E341-8B6E-37BABF29DB89}</author>
    <author>tc={00B1EC70-6BE0-3749-B449-CDE6B520F2CB}</author>
    <author>tc={1CBA514D-7091-5E4B-8CC1-2C794F5D2E33}</author>
    <author>tc={3116FF8E-3658-094C-8FD0-CB1DE195217D}</author>
    <author>tc={96F19E05-2135-C145-ACDC-C42CB897B6A3}</author>
    <author>tc={0D3E98F9-48BD-6949-ACB6-396D9B625EAE}</author>
    <author>tc={B44AD84F-BEA2-1D49-AF72-E975640B2539}</author>
    <author>tc={12815ADD-0C2D-6040-B3F3-EEF0462F1EBD}</author>
    <author>tc={ECDBC9B9-8627-4F4C-B0ED-D195D1245349}</author>
    <author>tc={757B3D1C-C3AD-9643-A49A-2268756E4C07}</author>
    <author>tc={FC29F62E-A06F-DA49-A875-AE62244191B1}</author>
    <author>tc={EA69F3BB-77BE-984A-82BC-B846B5756420}</author>
    <author>tc={740E5B56-D671-AF40-802B-A1D9DFF6F729}</author>
    <author>tc={E601E27D-000D-0E4B-A90D-34B7F064D211}</author>
    <author>tc={A1B2D589-8AD4-0642-9139-5468901FCC08}</author>
    <author>tc={E4F1916B-A6D3-F44D-A059-D0FC35E957D0}</author>
    <author>tc={25310429-A25F-2A45-A2EF-84F69773D70D}</author>
    <author>tc={34E7BE5D-F86F-DF46-8AEF-D5529DC38CEE}</author>
    <author>tc={AC3CBBD5-3A8E-A444-866E-CF3F5933E709}</author>
    <author>tc={8747EC29-E7EB-404D-BFA3-10D0AF6B021C}</author>
    <author>tc={ED0D6602-01BD-2D40-B589-4D7E84C7B68F}</author>
    <author>tc={FA833B06-49A8-A44F-90E2-C3E42D2A5DA8}</author>
    <author>tc={6FFFCE3C-D53F-D541-B2A1-72A6A3B39200}</author>
    <author>tc={3A620AF9-3604-F446-BF63-D7F522914DBC}</author>
    <author>tc={C3D4FF4D-E14B-5746-901E-380734199C78}</author>
    <author>tc={408369F1-1D1D-BA45-8C64-61445E37E3B8}</author>
    <author>tc={2BD7D136-352A-EB4E-9A56-5CEB7E4CEE30}</author>
    <author>tc={756E78F1-39E2-634A-A776-9FDDC754F046}</author>
    <author>tc={FE765E88-371B-4346-85EA-478F9FC3CC09}</author>
    <author>tc={B97926E2-B211-7143-8ACD-E9FFD14CEBD4}</author>
    <author>tc={5D0F2B5A-1FA3-5440-AC96-E581181367A2}</author>
    <author>tc={C24479A4-87BF-3042-99A6-EE313D3F95FB}</author>
    <author>tc={2D3DEEEA-7461-EF40-A39C-53FE48690428}</author>
    <author>tc={319D7588-9310-9245-A10D-6CEC9B5390AD}</author>
    <author>tc={1FD09EDB-B586-6045-A315-A15307B3C2C3}</author>
    <author>tc={165199FD-541C-6F4A-B7F6-B8BAF3E33867}</author>
    <author>tc={7720A549-0B5C-7E4A-AE91-9D21916BA190}</author>
    <author>tc={89434D21-8FFA-224F-B1EF-51BEE99DC324}</author>
    <author>tc={85E48B14-583F-C04F-8A96-E4448E28AA41}</author>
    <author>tc={11A16C90-C22B-1944-B37A-0839B153F73B}</author>
    <author>tc={44CA4891-77FD-644D-A102-33409E1D936F}</author>
    <author>tc={C01BA356-5886-0D4C-8AB9-6FFEBF86CC82}</author>
    <author>tc={92362D09-E5D1-5B49-A931-736B42C567D5}</author>
    <author>tc={5EEA47A6-4B4B-5244-9EF6-248F075CDE09}</author>
    <author>tc={FCE6B8D6-5A21-184E-947C-E7334EE9B46B}</author>
    <author>tc={381AEBDC-ED22-7843-8DC5-145FFBF730BE}</author>
    <author>tc={482A5C0D-A527-4A45-97E1-9AE55E53C7C9}</author>
    <author>tc={599BB976-92C0-5249-BD7A-11BFAC50C6F1}</author>
    <author>tc={F6555B8E-6BB5-BC4D-9AAF-07CAF8A60E8B}</author>
    <author>tc={BC1B8E64-DAE3-5D47-9B3A-8688E17D528A}</author>
    <author>tc={200CDB40-91CF-9644-B9C4-2F4BD7B5A23E}</author>
    <author>tc={E5F3CF37-AB57-2B46-BF57-435C20342D32}</author>
    <author>tc={753A6C3D-6EF8-5440-B584-7169EDC52DE3}</author>
    <author>tc={62044670-14F3-EE47-9D6E-7DD9027D518E}</author>
    <author>tc={1EAADF6D-8710-7445-834E-DBF8B90AAE0C}</author>
    <author>tc={2BA9D499-8720-5E46-B268-E16C5FCDD56B}</author>
    <author>tc={54F30383-5F5B-854C-BF39-2C56F58161D0}</author>
    <author>tc={5024C6C0-E52A-2E43-AD4C-5DF24003171A}</author>
    <author>tc={B3C4B7B7-FA09-4049-B1E7-9429ACE20ED6}</author>
    <author>tc={0BAE0013-AA47-2249-A685-440A6D360359}</author>
    <author>tc={1CC1CDB3-1007-684E-8F1B-829BADF4B6AD}</author>
    <author>tc={1FF84E46-2F55-9E42-B249-935BD065DF49}</author>
    <author>tc={F8A8E1BA-028A-8A4F-BB74-B1AC89A29B73}</author>
    <author>tc={2D165189-CEC2-5347-8111-EDD4C0BA14A8}</author>
    <author>tc={623F6238-9478-9C4A-B255-C595D56066EF}</author>
    <author>tc={E1DC51DB-C091-0247-B06A-1CE758F2C65C}</author>
    <author>tc={BAF79122-9A99-1146-8C5E-53745EDFC91B}</author>
    <author>tc={77702B4A-2F5F-B54B-AF37-E80704A4F786}</author>
    <author>tc={2493A2D0-993D-9345-9145-11B5A4308B42}</author>
    <author>tc={D11100CC-D346-834C-8FF3-9CEA648888A3}</author>
    <author>tc={74135153-AB03-4A4F-9D50-608FD9AD4DF4}</author>
    <author>tc={C610CA1F-63E1-8D46-98CD-DA09FC241ACF}</author>
    <author>tc={6C523027-7141-324C-B2A5-BDB4DAFC0EBC}</author>
    <author>tc={43FF9F5F-B57C-404E-93A3-25094E9E7ADB}</author>
    <author>tc={17270485-F0B1-1940-BEDD-CA2E307E3B14}</author>
    <author>tc={1D148C81-D9ED-C14C-891A-0AE6204E2129}</author>
    <author>tc={DBD03A40-481A-4141-A642-AE79627802C3}</author>
    <author>tc={C7B3335F-8995-4045-82AF-46A7401773FC}</author>
    <author>tc={AAD3B866-6BF2-5F41-8833-AFEFBA352B98}</author>
    <author>tc={1837EA91-525A-0741-9004-CC328014CCB9}</author>
    <author>tc={6C1F4E26-1204-4542-BE22-2BC665CBB103}</author>
    <author>tc={7DF8C74D-2473-224C-A56F-E59BC7FA4C41}</author>
    <author>tc={22930840-BD47-9443-B0E8-60DFD1975E51}</author>
    <author>tc={844AB76B-A30F-384E-90A3-D76BFBD1A666}</author>
    <author>tc={1CD0F463-25F8-1948-B0F5-4E851AEF89BB}</author>
    <author>tc={1D6DB3C9-3874-0C4E-8879-C94959BE9A07}</author>
    <author>tc={EFE576CF-A8F0-C04F-8C86-84B6814B734E}</author>
    <author>tc={62E1AC7C-170A-614C-936A-F8A9BB7352C4}</author>
    <author>tc={91F5F3DB-F069-D347-B580-376816D5403B}</author>
    <author>tc={5F6A9A12-2497-D84F-9EE0-EBD5F2AE52DD}</author>
    <author>tc={11384D52-38DD-FF4B-BE02-10232746D09C}</author>
    <author>tc={4D305A29-3408-CE43-97C1-558DF356308E}</author>
    <author>tc={7BC431CF-683D-E141-A46B-6C13A5A80E86}</author>
    <author>tc={A77625F2-772F-E547-9393-8852CD452564}</author>
    <author>tc={EB3A5856-2C16-9349-A9C4-1C6A3EC2A5E1}</author>
    <author>tc={7AC76EB7-7B33-C94E-B7CE-B2FFB91E6444}</author>
    <author>tc={7C8C2569-3D1F-1941-AB45-4CD972B7FFC5}</author>
    <author>tc={E395E47C-23FB-C34D-813D-BDEDB08EC322}</author>
    <author>tc={C1DCC959-F90E-0D42-9ADE-1456D139EACE}</author>
    <author>tc={AF41DBC3-40AB-3C46-9691-0FD3657C776C}</author>
    <author>tc={3C8C29F9-6443-804D-95CC-0FB50F4B6422}</author>
    <author>tc={FE89BD6E-979B-E64C-B1D2-E02F0FD8BC06}</author>
    <author>tc={965519B2-3CA6-CA41-B52C-D5173D26B65D}</author>
    <author>tc={7B466840-CF7D-0B48-82EC-D8A920F451D1}</author>
    <author>tc={B27649E0-146A-A14C-B166-AEDC2162DBD3}</author>
    <author>tc={D1633E33-AA8D-D942-B78E-8269B8836A42}</author>
    <author>tc={F506D4FC-E950-F24B-94E7-A7C8BE96176A}</author>
    <author>tc={8765A32C-E23E-BF45-8354-9319DA1B7444}</author>
    <author>tc={5430D754-E560-AB45-A4E9-D9DA26476D07}</author>
    <author>tc={DEC4B6F2-6AA2-1541-8D47-3509FB8196ED}</author>
    <author>tc={2FD1DF36-7DB0-684A-93D8-D9F11A591DB5}</author>
    <author>tc={BCCF86DC-B668-FD49-BDEC-BB7588CA947C}</author>
    <author>tc={13BDC159-CDBD-104F-AED8-D141D95D0A23}</author>
    <author>tc={96CE67A1-5F67-B146-9558-CD41B3D15DAA}</author>
    <author>tc={2A9E058C-CDCA-6844-998F-A7FEE5EF31F7}</author>
    <author>tc={90171CD5-AEFD-AD48-BBB4-FC61656C3DB0}</author>
    <author>tc={7F4F6CDC-B028-A24E-9CB3-09B863D8B1FF}</author>
    <author>tc={847664E9-44F2-9645-AD88-3AE63F95BE8E}</author>
    <author>tc={312E062C-3F8C-4542-A107-2C6F670CB43A}</author>
    <author>tc={EC666C76-2772-3D4A-85ED-4F019D8DFC48}</author>
    <author>tc={E06B826A-CC82-3242-B226-FF4437B1CF2E}</author>
    <author>tc={13B7BA06-2B00-3D4C-B7B0-E39B24CA1F4F}</author>
    <author>tc={9EF98660-EA1A-EC44-B68D-57F3890412E9}</author>
    <author>tc={ECFB4A06-FACF-5740-9B8D-57F67919BF75}</author>
    <author>tc={C6355060-C5A5-394D-8258-91CD7C98C99F}</author>
    <author>tc={650F6D44-CDD1-1340-A327-3BC73F9B16D7}</author>
    <author>tc={FE0A6C56-9BEE-5949-B65A-AD9D2932D7F8}</author>
    <author>tc={E8877E69-BB01-1C48-A474-8736460D4543}</author>
    <author>tc={84D94E60-7AD0-4641-8E24-015965DD12B1}</author>
    <author>tc={4BD5DBB1-8B95-934B-B49E-B050C36F60E1}</author>
  </authors>
  <commentList>
    <comment ref="H3" authorId="0" shapeId="0" xr:uid="{ACBF737A-FF26-4F78-988A-F26A5302B0CA}">
      <text>
        <r>
          <rPr>
            <sz val="9"/>
            <color rgb="FF000000"/>
            <rFont val="Tahoma"/>
            <family val="2"/>
          </rPr>
          <t>Only applicable if there are ESG criteria in place</t>
        </r>
      </text>
    </comment>
    <comment ref="K3" authorId="0" shapeId="0" xr:uid="{E6078277-3E60-4EB2-ABBC-03B40FA1CE3B}">
      <text>
        <r>
          <rPr>
            <sz val="9"/>
            <color rgb="FF000000"/>
            <rFont val="Tahoma"/>
            <family val="2"/>
          </rPr>
          <t xml:space="preserve">Including e.g., net-zero targets, CO2 reduction, decarbonization etc. 
</t>
        </r>
      </text>
    </comment>
    <comment ref="L3" authorId="0" shapeId="0" xr:uid="{36C34D0D-9DEA-429A-BA51-D3B6B49B629E}">
      <text>
        <r>
          <rPr>
            <sz val="9"/>
            <color rgb="FF000000"/>
            <rFont val="Tahoma"/>
            <family val="2"/>
          </rPr>
          <t xml:space="preserve">Including e.g., net-zero targets, CO2 reduction, decarbonization etc. 
</t>
        </r>
      </text>
    </comment>
    <comment ref="M3" authorId="0" shapeId="0" xr:uid="{EB030845-F444-4BE5-B1FE-5E8AB8C30AB3}">
      <text>
        <r>
          <rPr>
            <sz val="9"/>
            <color rgb="FF000000"/>
            <rFont val="Tahoma"/>
            <family val="2"/>
          </rPr>
          <t>if remuneration includes other E KPI than emission reduction, if there are several other E KPIs please distinguish each KPI using ";"</t>
        </r>
      </text>
    </comment>
    <comment ref="N3" authorId="0" shapeId="0" xr:uid="{F6CBAEC2-6DC5-4D7A-8406-AFA494FA2B75}">
      <text>
        <r>
          <rPr>
            <sz val="9"/>
            <color rgb="FF000000"/>
            <rFont val="Tahoma"/>
            <family val="2"/>
          </rPr>
          <t>if remuneration includes other E KPI than emission reduction</t>
        </r>
      </text>
    </comment>
    <comment ref="P3" authorId="0" shapeId="0" xr:uid="{4B5A5084-8CC5-44D0-B6DE-101E7467BF68}">
      <text>
        <r>
          <rPr>
            <sz val="9"/>
            <color rgb="FF000000"/>
            <rFont val="Tahoma"/>
            <family val="2"/>
          </rPr>
          <t>Including "Mitarbeiterzufriedenheit", "Mitarbeiterengagement" etc.</t>
        </r>
      </text>
    </comment>
    <comment ref="AI3" authorId="0" shapeId="0" xr:uid="{E4A5BC6D-A454-4B4F-9BB3-B5FEE1D78147}">
      <text>
        <r>
          <rPr>
            <sz val="9"/>
            <color rgb="FF000000"/>
            <rFont val="Tahoma"/>
            <family val="2"/>
          </rPr>
          <t xml:space="preserve">Only for ESG criteria </t>
        </r>
      </text>
    </comment>
    <comment ref="AK3" authorId="0" shapeId="0" xr:uid="{FFBF3BC7-8A52-4D6C-B4D4-42DCA6EFC1D4}">
      <text>
        <r>
          <rPr>
            <sz val="9"/>
            <color rgb="FF000000"/>
            <rFont val="Tahoma"/>
            <family val="2"/>
          </rPr>
          <t xml:space="preserve">Including e.g., net-zero targets, CO2 reduction, decarbonization etc. 
</t>
        </r>
      </text>
    </comment>
    <comment ref="AL3" authorId="0" shapeId="0" xr:uid="{55CB8359-E96E-4D95-A94D-C44CDF8345D0}">
      <text>
        <r>
          <rPr>
            <sz val="9"/>
            <color rgb="FF000000"/>
            <rFont val="Tahoma"/>
            <family val="2"/>
          </rPr>
          <t xml:space="preserve">Including e.g., net-zero targets, CO2 reduction, decarbonization etc. 
</t>
        </r>
      </text>
    </comment>
    <comment ref="AM3" authorId="0" shapeId="0" xr:uid="{EB3CD860-23B9-4AF3-906A-2BDB440452F2}">
      <text>
        <r>
          <rPr>
            <sz val="9"/>
            <color rgb="FF000000"/>
            <rFont val="Tahoma"/>
            <family val="2"/>
          </rPr>
          <t>if remuneration includes other E KPI than emission reduction, if there are several other E KPIs please distinguish each KPI using ";"</t>
        </r>
      </text>
    </comment>
    <comment ref="AN3" authorId="0" shapeId="0" xr:uid="{18C4F600-D97F-4E23-8EB0-AD7FBBF88D12}">
      <text>
        <r>
          <rPr>
            <sz val="9"/>
            <color rgb="FF000000"/>
            <rFont val="Tahoma"/>
            <family val="2"/>
          </rPr>
          <t>if remuneration includes other E KPI than emission reduction</t>
        </r>
      </text>
    </comment>
    <comment ref="AP3" authorId="0" shapeId="0" xr:uid="{603A0D7A-7851-4263-B02E-CF11913D414B}">
      <text>
        <r>
          <rPr>
            <sz val="9"/>
            <color rgb="FF000000"/>
            <rFont val="Tahoma"/>
            <family val="2"/>
          </rPr>
          <t>Including "Mitarbeiterzufriedenheit", "Mitarbeiterengagement" etc.</t>
        </r>
      </text>
    </comment>
    <comment ref="D4" authorId="1" shapeId="0" xr:uid="{D5220FFE-F2D0-394F-B82C-A2B6A8A50A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t>
      </text>
    </comment>
    <comment ref="G4" authorId="2" shapeId="0" xr:uid="{E431D515-25B2-1544-A7E1-C1281906C9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STI besteht zu 20% aus nicht finanziellen Kriterien, Davon ist ein performance Kriterium von 3 ESG related</t>
      </text>
    </comment>
    <comment ref="I4" authorId="3" shapeId="0" xr:uid="{B2207B6C-3552-E84C-9A60-8C89BA272F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non financial (nicht nur ESG) ZE: 100</t>
      </text>
    </comment>
    <comment ref="Q4" authorId="4" shapeId="0" xr:uid="{7F1B45FC-CCB3-415D-A2E5-901530C97034}">
      <text>
        <r>
          <rPr>
            <sz val="9"/>
            <color rgb="FF000000"/>
            <rFont val="Segoe UI"/>
            <charset val="1"/>
          </rPr>
          <t>eins von 2 Zielen, deshalb /2</t>
        </r>
      </text>
    </comment>
    <comment ref="W4" authorId="5" shapeId="0" xr:uid="{8ECCA39D-C57A-524D-BF85-5563CDD15E8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Kann man auch als nicht ESG relevant sehen, halte aber G Einordnung für richtig</t>
      </text>
    </comment>
    <comment ref="X4" authorId="4" shapeId="0" xr:uid="{DC95EA5F-F420-4A56-8843-C3B46A4DCD9F}">
      <text>
        <r>
          <rPr>
            <b/>
            <sz val="9"/>
            <color rgb="FF000000"/>
            <rFont val="Segoe UI"/>
            <charset val="1"/>
          </rPr>
          <t>Samuel Kruppa:</t>
        </r>
        <r>
          <rPr>
            <sz val="9"/>
            <color rgb="FF000000"/>
            <rFont val="Segoe UI"/>
            <charset val="1"/>
          </rPr>
          <t xml:space="preserve">
</t>
        </r>
        <r>
          <rPr>
            <sz val="9"/>
            <color rgb="FF000000"/>
            <rFont val="Segoe UI"/>
            <charset val="1"/>
          </rPr>
          <t>je gemittelt nach S.19</t>
        </r>
      </text>
    </comment>
    <comment ref="AI4" authorId="6" shapeId="0" xr:uid="{5EC59238-29AC-5740-AD24-BDD1B5EE451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S.22, Kein LTI Betrag ausgezahlt, aber 2024 neue Tranche begonnen. (Dazu auch keine ZE angegeben, eventuell gab es in diesem Jahr keine LTI). </t>
      </text>
    </comment>
    <comment ref="D5" authorId="7" shapeId="0" xr:uid="{D58C7EFD-00B1-EA43-88C7-FB7533F7308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 234 STI target ist 100% of base salary which in turn is 1/3 of total comp
(Range from 0-100%)
But actual achievements of the CEO were above the target, also Zahl könnte auch 35,5% sein (nach wirklichen Zahlen und nicht Target). Aber 33,3% (Methodik von 2024 übernommen) </t>
      </text>
    </comment>
    <comment ref="E5" authorId="8" shapeId="0" xr:uid="{25F0928C-2A41-7145-971C-7D13CC40AAB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ESG KPIs sind CO2 + injury + CEO individual (Execution Digital &amp;
Decarbonisation
roadmap)</t>
      </text>
    </comment>
    <comment ref="G5" authorId="9" shapeId="0" xr:uid="{D3FA98E5-FAD5-434A-ACF3-CF278C75657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je 5% sind E und S zuzuordnen, (S. 50) 
2,5 sind Execution Digital &amp;
Decarbonisation
roadmap zuzuordnen, die Zahl habe ich aber durch zwei geteilt (Annäherung um digital auszuschließen)
</t>
      </text>
    </comment>
    <comment ref="I5" authorId="4" shapeId="0" xr:uid="{39B4E160-190D-45B0-96EE-B70C79A044B4}">
      <text>
        <r>
          <rPr>
            <sz val="9"/>
            <color rgb="FF000000"/>
            <rFont val="Segoe UI"/>
            <charset val="1"/>
          </rPr>
          <t xml:space="preserve">individual part (für den CEO) und common collective component, nach S.50
</t>
        </r>
        <r>
          <rPr>
            <sz val="9"/>
            <color rgb="FF000000"/>
            <rFont val="Segoe UI"/>
            <charset val="1"/>
          </rPr>
          <t xml:space="preserve">digital&amp;decarbinisation roadmap ZE:110
</t>
        </r>
        <r>
          <rPr>
            <sz val="9"/>
            <color rgb="FF000000"/>
            <rFont val="Segoe UI"/>
            <charset val="1"/>
          </rPr>
          <t xml:space="preserve">CO2 reduction: ZE: 200%
</t>
        </r>
        <r>
          <rPr>
            <sz val="9"/>
            <color rgb="FF000000"/>
            <rFont val="Segoe UI"/>
            <charset val="1"/>
          </rPr>
          <t xml:space="preserve">Arbeitsunfälle: ZE: 43 %
</t>
        </r>
      </text>
    </comment>
    <comment ref="K5" authorId="4" shapeId="0" xr:uid="{24F129E5-7B8F-43E8-BCB8-E8CBBCCE6575}">
      <text>
        <r>
          <rPr>
            <sz val="9"/>
            <color rgb="FF000000"/>
            <rFont val="Segoe UI"/>
            <charset val="1"/>
          </rPr>
          <t>reduction in CO2 emissions, ZE 200%</t>
        </r>
      </text>
    </comment>
    <comment ref="L5" authorId="10" shapeId="0" xr:uid="{D8C74950-081F-2743-92A9-8961CD8C642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S.48/S.50 
STI besteht zu 50% aus collective, von Collective insgesamt sind 20% Sustainability und davon die Hälfte CO2 -&gt; (50*0,2)/2</t>
      </text>
    </comment>
    <comment ref="M5" authorId="11" shapeId="0" xr:uid="{581E15AA-C373-2E44-BAA8-6B20B64D90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(wurde durch zwei geteilt um Digital auszuschließen aber nur Annäherung)</t>
      </text>
    </comment>
    <comment ref="N5" authorId="12" shapeId="0" xr:uid="{11BBB5FD-B35E-734E-B8A6-EE87927BA3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S.48 S.50 S.53
STI besteht zu 50% aus einem individual component, dieser besteht wiederum zu 5% aus einer Execution Digital&amp;
Decarbonisation
roadmap. Diese wurde nochmal durch zwei geteilt um Digital herauszurechnen</t>
      </text>
    </comment>
    <comment ref="R5" authorId="4" shapeId="0" xr:uid="{5C454ECC-D7C2-47EC-849C-0B5FD736958F}">
      <text>
        <r>
          <rPr>
            <sz val="9"/>
            <color rgb="FF000000"/>
            <rFont val="Aptos Narrow"/>
          </rPr>
          <t xml:space="preserve">the rolling lost time
</t>
        </r>
        <r>
          <rPr>
            <sz val="9"/>
            <color rgb="FF000000"/>
            <rFont val="Aptos Narrow"/>
          </rPr>
          <t xml:space="preserve">injury frequency rate (”FR1”) which is the monthly number of lost time
</t>
        </r>
        <r>
          <rPr>
            <sz val="9"/>
            <color rgb="FF000000"/>
            <rFont val="Aptos Narrow"/>
          </rPr>
          <t xml:space="preserve">injuries per million worked hours averaged over 12 months): 40% archivement
</t>
        </r>
      </text>
    </comment>
    <comment ref="S5" authorId="13" shapeId="0" xr:uid="{492A9628-74EC-DA45-8781-9394233BFF2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S.48/S.50 
STI besteht zu 50% aus collective, von Collective insgesamt sind 20% Sustainability und davon die Hälfte Arbeitsunfälle -&gt; (50*0,2)/2</t>
      </text>
    </comment>
    <comment ref="AI5" authorId="4" shapeId="0" xr:uid="{7055D5FB-AB2E-4208-B7E2-29B561772057}">
      <text>
        <r>
          <rPr>
            <b/>
            <sz val="9"/>
            <color rgb="FF000000"/>
            <rFont val="Segoe UI"/>
            <charset val="1"/>
          </rPr>
          <t xml:space="preserve">Tranche 2021 </t>
        </r>
      </text>
    </comment>
    <comment ref="E6" authorId="14" shapeId="0" xr:uid="{C17C56F7-BF1D-584F-AB62-1615B97FC4A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Nachhaltigkeit(etwa gemessen an der Treibhausgasreduktion),Kundenzufriedenheit, Mitarbeiterzufriedenheit, Führungsqualität
</t>
      </text>
    </comment>
    <comment ref="G6" authorId="0" shapeId="0" xr:uid="{F2BDD881-E4C5-451C-B093-B9AFD6C2A639}">
      <text>
        <r>
          <rPr>
            <sz val="9"/>
            <color rgb="FF000000"/>
            <rFont val="Tahoma"/>
            <family val="2"/>
          </rPr>
          <t xml:space="preserve">Jeder der IBF-Bereiche „Strategische Priorität“, – „Performance (Ressortziele)“, – „Nachhaltigkeitsziele“ ist von signifikanter Jeder der IBF-Bereiche „Strategische Priorität“, – „Performance (Ressortziele)“, – „Nachhaltigkeitsziele“ ist von signifikanter
</t>
        </r>
        <r>
          <rPr>
            <sz val="9"/>
            <color rgb="FF000000"/>
            <rFont val="Tahoma"/>
            <family val="2"/>
          </rPr>
          <t xml:space="preserve">Bedeutung und hat bei der Bewertung des IBF grundsätzlich ein ähnliches Gewicht. Dennoch sind die einzelnen Indikatoren nicht mit einem vorab festgelegten Prozentsatz gewichtet, so dass die Ermittlung des IBF keiner formelhaften Berechnung unterliegt.
</t>
        </r>
      </text>
    </comment>
    <comment ref="I6" authorId="15" shapeId="0" xr:uid="{0453E348-8E55-E944-A461-0BA5E041C1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S.100
Der Multiplikator, in welchem auch Eng Ziele enthalten sind lag für den CEO bei 1,17</t>
      </text>
    </comment>
    <comment ref="K6" authorId="4" shapeId="0" xr:uid="{7DAEFF96-600F-4BE8-AE5E-AE9952404D81}">
      <text>
        <r>
          <rPr>
            <sz val="9"/>
            <color rgb="FF000000"/>
            <rFont val="Segoe UI"/>
            <charset val="1"/>
          </rPr>
          <t>Nachhaltigkeit: gemessen etwa an der Reduktion der Treibhausgasemissionen der Allianz Gesellschaften sowie an der Entwicklung von Plänen zur Reduzierung von CO₂-Emissionen im Rahmen der Kapitalanlage.</t>
        </r>
      </text>
    </comment>
    <comment ref="P6" authorId="4" shapeId="0" xr:uid="{EB71C64C-7C0D-4558-A88E-A8403BE7E958}">
      <text>
        <r>
          <rPr>
            <sz val="9"/>
            <color rgb="FF000000"/>
            <rFont val="Segoe UI"/>
            <charset val="1"/>
          </rPr>
          <t>Mitarbeiterzufriedenheit: Entwicklung Allianz Engagement Survey einschließlich Inclusive Meritocracy Index, Work Well Index Plus.</t>
        </r>
      </text>
    </comment>
    <comment ref="AE6" authorId="4" shapeId="0" xr:uid="{83D3F7CA-3DF7-43EF-94D5-83DC22762FAC}">
      <text>
        <r>
          <rPr>
            <sz val="9"/>
            <color rgb="FF000000"/>
            <rFont val="Segoe UI"/>
            <charset val="1"/>
          </rPr>
          <t xml:space="preserve">selben 4 wie bei STI dazu noch eine Nachhaltigkeitsprüfung. Diese besteht aus </t>
        </r>
        <r>
          <rPr>
            <sz val="9"/>
            <color rgb="FF000000"/>
            <rFont val="Aptos Narrow"/>
          </rPr>
          <t xml:space="preserve">Compliance-Verstöße,
</t>
        </r>
        <r>
          <rPr>
            <sz val="9"/>
            <color rgb="FF000000"/>
            <rFont val="Aptos Narrow"/>
          </rPr>
          <t xml:space="preserve">− Bilanzthemen wie Reservestärke, Solvabilität, Verschuldung
</t>
        </r>
        <r>
          <rPr>
            <sz val="9"/>
            <color rgb="FF000000"/>
            <rFont val="Aptos Narrow"/>
          </rPr>
          <t xml:space="preserve">und Ratings,
</t>
        </r>
        <r>
          <rPr>
            <sz val="9"/>
            <color rgb="FF000000"/>
            <rFont val="Aptos Narrow"/>
          </rPr>
          <t xml:space="preserve">− KPIs aus den individuellen Vorstandszielen wie dNPS, Mitar-
</t>
        </r>
        <r>
          <rPr>
            <sz val="9"/>
            <color rgb="FF000000"/>
            <rFont val="Aptos Narrow"/>
          </rPr>
          <t xml:space="preserve">beiterzufriedenheit und Klimaziele. S. </t>
        </r>
        <r>
          <rPr>
            <sz val="9"/>
            <color rgb="FF000000"/>
            <rFont val="Segoe UI"/>
            <charset val="1"/>
          </rPr>
          <t>95</t>
        </r>
      </text>
    </comment>
    <comment ref="AF6" authorId="4" shapeId="0" xr:uid="{BD9D8C49-4F9B-4AF8-B997-223917D838D4}">
      <text>
        <r>
          <rPr>
            <sz val="9"/>
            <color rgb="FF000000"/>
            <rFont val="Segoe UI"/>
            <charset val="1"/>
          </rPr>
          <t>indv. Beitragsfaktor; Nachhaltigkeitsprüfung</t>
        </r>
      </text>
    </comment>
    <comment ref="AG6" authorId="16" shapeId="0" xr:uid="{E17EB428-0142-614E-B8AA-8AF2D2CA2AB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Wert wird am Schluss mit  Nachhaltigkeitwert (zwischen 0-100) multipliziert </t>
      </text>
    </comment>
    <comment ref="AI6" authorId="17" shapeId="0" xr:uid="{790806E4-CC8E-4E40-9FEE-CE3761DC28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S.103
Antwort:
    Nachhaltigkeitsprüfung hat nichts geändert</t>
      </text>
    </comment>
    <comment ref="AK6" authorId="4" shapeId="0" xr:uid="{1EB71867-F95A-4552-99E3-A59A5012A8FA}">
      <text>
        <r>
          <rPr>
            <sz val="9"/>
            <color rgb="FF000000"/>
            <rFont val="Segoe UI"/>
            <charset val="1"/>
          </rPr>
          <t>Nachhaltigkeit: gemessen etwa an der Reduktion der Treibhausgasemissionen der Allianz Gesellschaften sowie an der Entwicklung von Plänen zur Reduzierung von CO₂-Emissionen im Rahmen der Kapitalanlage.</t>
        </r>
      </text>
    </comment>
    <comment ref="AP6" authorId="4" shapeId="0" xr:uid="{8385887F-7D7B-4FD5-881A-90561198B244}">
      <text>
        <r>
          <rPr>
            <sz val="9"/>
            <color rgb="FF000000"/>
            <rFont val="Segoe UI"/>
            <charset val="1"/>
          </rPr>
          <t>Mitarbeiterzufriedenheit: Entwicklung Allianz Engagement Survey einschließlich Inclusive Meritocracy Index, Work Well Index Plus.</t>
        </r>
      </text>
    </comment>
    <comment ref="E7" authorId="4" shapeId="0" xr:uid="{8E487077-F802-4A39-ADE2-94663E9A35F6}">
      <text>
        <r>
          <rPr>
            <sz val="9"/>
            <color rgb="FF000000"/>
            <rFont val="Segoe UI"/>
            <charset val="1"/>
          </rPr>
          <t xml:space="preserve">es gibt 3 Ziehle die in die in die 25% der nicht finanziellen Ziehle miteinfließen: Mitarbeiterengagment und zufriedenheit, Arbeits und Prozess sicherheit und Ziehle zu startegischen Projekten
</t>
        </r>
        <r>
          <rPr>
            <sz val="9"/>
            <color rgb="FF000000"/>
            <rFont val="Segoe UI"/>
            <charset val="1"/>
          </rPr>
          <t xml:space="preserve">S. 5
</t>
        </r>
        <r>
          <rPr>
            <sz val="9"/>
            <color rgb="FF000000"/>
            <rFont val="Segoe UI"/>
            <charset val="1"/>
          </rPr>
          <t xml:space="preserve">
</t>
        </r>
        <r>
          <rPr>
            <sz val="9"/>
            <color rgb="FF000000"/>
            <rFont val="Segoe UI"/>
            <charset val="1"/>
          </rPr>
          <t>da strategische Projekte nicht relevant für esg sind bleiben zwei</t>
        </r>
      </text>
    </comment>
    <comment ref="G7" authorId="4" shapeId="0" xr:uid="{2519F842-9D7E-4EAF-BF66-0F8CE721AE93}">
      <text>
        <r>
          <rPr>
            <b/>
            <sz val="9"/>
            <color rgb="FF000000"/>
            <rFont val="Segoe UI"/>
            <charset val="1"/>
          </rPr>
          <t>STI besteht aus 25 % aus non financial, davon sind 2 der drei Ziehle als ESG einzuordnen (alles sind gleich gewichtet) S.5</t>
        </r>
      </text>
    </comment>
    <comment ref="I7" authorId="18" shapeId="0" xr:uid="{609050E4-211F-C045-B026-FD9F7858ED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S.8
Mitarbeiterzufriedenheit ZE 80%, Arbeitssicherheit/Prozesssicherheit ZE 189,5</t>
      </text>
    </comment>
    <comment ref="O7" authorId="19" shapeId="0" xr:uid="{8E80F576-D6F5-FA41-989B-9BD9FC1F157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Mitarbeiterengagement und Zufriedenheit + Arbeitssicherheit und Prozessicherheit</t>
      </text>
    </comment>
    <comment ref="P7" authorId="20" shapeId="0" xr:uid="{1BBDFC5A-8239-6F41-BE5A-15B09AF2C91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Mitarbeiter Engagement und Zufriedenheit </t>
      </text>
    </comment>
    <comment ref="Q7" authorId="21" shapeId="0" xr:uid="{FC1BD0ED-26E1-2E45-8D11-563EF2E3F1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Eines von 3 gleich gleichgewichteten KPIs, welche den Punkt nicht finanzielle Ziele ausmachen, welcher mit 25% zu STI beiträgt, also 25*1/3 S.5, S.11
Antwort:
    Mitarbeiterzufriedenheit ZE: 80%,
Arbeitssicherheit ZE: 185,7%
Prozesssicherheit ZE: 193,3%
Sprich der Punkt Arbeit und Prozesssicherheit ZE: 189,5</t>
      </text>
    </comment>
    <comment ref="S7" authorId="22" shapeId="0" xr:uid="{A27FCBF2-F8DD-DD49-B9A0-5C23FAE2334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Gleich wie Zelle Q7, nur andere KPI</t>
      </text>
    </comment>
    <comment ref="Z7" authorId="23" shapeId="0" xr:uid="{52A95BED-3EF3-464B-9AAF-7D5B2F41B8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Siehe Seite 5</t>
      </text>
    </comment>
    <comment ref="AD7" authorId="24" shapeId="0" xr:uid="{A871795D-6142-5B4E-8BFD-CE064CC44E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Siehe STI und S.3</t>
      </text>
    </comment>
    <comment ref="AG7" authorId="4" shapeId="0" xr:uid="{72ECB13F-D211-480B-A1E2-8067B49390C9}">
      <text>
        <r>
          <rPr>
            <sz val="9"/>
            <color rgb="FF000000"/>
            <rFont val="Segoe UI"/>
            <charset val="1"/>
          </rPr>
          <t xml:space="preserve">gemittelt, 3 Kennziffern für LTI: ROCE; steigerung EBITDA; CO2-Reduktion (E), aber auch aus berechnung 33,33 entnehmbar
</t>
        </r>
        <r>
          <rPr>
            <sz val="9"/>
            <color rgb="FF000000"/>
            <rFont val="Segoe UI"/>
            <charset val="1"/>
          </rPr>
          <t>S. 13</t>
        </r>
      </text>
    </comment>
    <comment ref="AI7" authorId="4" shapeId="0" xr:uid="{9D6EBDE9-5DDE-40BA-91D0-7640FF2B4DCD}">
      <text>
        <r>
          <rPr>
            <sz val="9"/>
            <color rgb="FF000000"/>
            <rFont val="Segoe UI"/>
            <charset val="1"/>
          </rPr>
          <t>Erstes Jahr der 24-27 Tranche
ZE CO2 Emissionen 200%</t>
        </r>
      </text>
    </comment>
    <comment ref="AK7" authorId="4" shapeId="0" xr:uid="{30DAE756-B24E-469E-8DB3-C419C24ECBBA}">
      <text>
        <r>
          <rPr>
            <sz val="9"/>
            <color rgb="FF000000"/>
            <rFont val="Segoe UI"/>
            <charset val="1"/>
          </rPr>
          <t>CO2 Reduktion, ZE 200%</t>
        </r>
      </text>
    </comment>
    <comment ref="AL7" authorId="25" shapeId="0" xr:uid="{C0738721-4B3A-E347-A512-0FB440AC522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41% von der total comp ist LTI, davon sind 33% auf Nachhaltigkeit bezogen</t>
      </text>
    </comment>
    <comment ref="D8" authorId="26" shapeId="0" xr:uid="{F70C66F7-F1B1-1146-B9A5-1C65EA608F3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 zwischen 20 und 30 (S.11)</t>
      </text>
    </comment>
    <comment ref="E8" authorId="4" shapeId="0" xr:uid="{A9C6085F-31AB-49BA-B5B6-33304E5AA233}">
      <text>
        <r>
          <rPr>
            <sz val="10"/>
            <color rgb="FF000000"/>
            <rFont val="Aptos Narrow"/>
          </rPr>
          <t xml:space="preserve">Nachfolgeplanungs- und Karriereförde- rungs­programm etablieren, u. a. zur Erhöhung der Diversität </t>
        </r>
      </text>
    </comment>
    <comment ref="F8" authorId="4" shapeId="0" xr:uid="{ED7674C0-F863-4E32-9862-7E6BCAF5B1F0}">
      <text>
        <r>
          <rPr>
            <sz val="9"/>
            <color rgb="FF000000"/>
            <rFont val="Segoe UI"/>
            <family val="2"/>
            <charset val="1"/>
          </rPr>
          <t>Performance-Faktor von 0,8 bis 1,2</t>
        </r>
      </text>
    </comment>
    <comment ref="G8" authorId="4" shapeId="0" xr:uid="{DAE7DB3D-FED1-4CC1-A071-BA58DE396442}">
      <text>
        <r>
          <rPr>
            <sz val="9"/>
            <color rgb="FF000000"/>
            <rFont val="Segoe UI"/>
            <charset val="1"/>
          </rPr>
          <t xml:space="preserve">CEO, Performance Faktor hat insgesamt 8 Ziele, davon 1 ESG </t>
        </r>
      </text>
    </comment>
    <comment ref="I8" authorId="4" shapeId="0" xr:uid="{E0F81150-69DC-4351-8F83-A9ACABF3E5EC}">
      <text>
        <r>
          <rPr>
            <sz val="9"/>
            <color rgb="FF000000"/>
            <rFont val="Segoe UI"/>
            <charset val="1"/>
          </rPr>
          <t xml:space="preserve">CEO, </t>
        </r>
      </text>
    </comment>
    <comment ref="O8" authorId="27" shapeId="0" xr:uid="{AF892BFB-31A1-7547-B7A0-24F16EF0526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 an sich: Nachfolgeplanungs- und Karriereförde-
rungsprogramm etablieren, u. a. zur
Erhöhung der Diversität, aber in ZE nur Frauenanteil, deswegen nicht als Ziel NAchfolgeplanng. ZE: Er konnte gute Fortschritte in Bezug auf Gender Diversity
   erzielen (Steigerung des Frauenanteils unter den Top 500
   Führungskräften des Bayer Konzerns von 32 % auf 35 %).
Doppelt in G und S aufgeführt (siehe gelbe Markierung</t>
      </text>
    </comment>
    <comment ref="S8" authorId="28" shapeId="0" xr:uid="{B3C13483-59D2-9443-98B5-E5B5328D015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Gleiches problem wie bei STI kompletter Berechnung. Prozent zweimal wegen Zurechnung bei G und S?</t>
      </text>
    </comment>
    <comment ref="AD8" authorId="29" shapeId="0" xr:uid="{16C25F5B-4EAF-344A-BA48-216B6013C8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 zwischen 40 und 60 (S.11)</t>
      </text>
    </comment>
    <comment ref="AE8" authorId="30" shapeId="0" xr:uid="{7ADAFA6D-E7EA-594E-AFF4-3FB19B6976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 Scope-1- und -2-Treibhausgas-Emissionen
... Scope-3-Treibhausgas-Emissionen relevanter Kategorien
... unterstützten Kleinbauern in Ländern mit geringem bis mittlerem Einkommensniveau
... mit alltäglicher Gesundheitsversorgung unterstützen Menschen in unterversorgten Regionen
... Frauen in Ländern mit geringem bis mittlerem Einkommensniveau mit Zugang zu moderner Empfängnisverhütung</t>
      </text>
    </comment>
    <comment ref="AI8" authorId="31" shapeId="0" xr:uid="{19E001F3-59F3-2343-8162-C17D7A168E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Unterstützung von Kleinbauern erreichte 100 %, der Zugang zu Empfängnisverhütung 20 %, die Gesundheitsversorgung in Regionen 120 %, die Scope 1&amp;2 Emissionen 100 %, die Scope 3 Emissionen 200 % und die Kompensation von Emissionen 100 %, was aggregiert einer Zielerreichung von 106,67 % entspricht.
Antwort:
    Tranche 21, ZE der oben genannten KPIs bezieht sich aber nur auf das Jahr 2024</t>
      </text>
    </comment>
    <comment ref="AK8" authorId="4" shapeId="0" xr:uid="{C9E33026-4762-49E9-B8B8-04CDBF77BD7F}">
      <text>
        <r>
          <rPr>
            <sz val="9"/>
            <color rgb="FF000000"/>
            <rFont val="Segoe UI"/>
            <charset val="1"/>
          </rPr>
          <t>2 getrennte Ziele: Reduktion Scope 1,2; Reduktion Scope 3 relevanter Kategorien</t>
        </r>
      </text>
    </comment>
    <comment ref="AL8" authorId="4" shapeId="0" xr:uid="{18451DE0-F9A8-4F2E-A965-2EFC091069A9}">
      <text>
        <r>
          <rPr>
            <sz val="9"/>
            <color rgb="FF000000"/>
            <rFont val="Segoe UI"/>
            <charset val="1"/>
          </rPr>
          <t>20% Nachhaltigkeit, und 5 Ziehle -&gt; 20/5=4</t>
        </r>
      </text>
    </comment>
    <comment ref="AM8" authorId="32" shapeId="0" xr:uid="{FBD9023A-4B18-3546-9D83-9DCF926300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Kompensation verbleibender Scope-1- und -2-Treibhausgas-Emissionen
Ist zwar in den 2030 Konzernziehlen, wurde aber nicht explizit in der neuen 24 Tranche erwähnt, deshalb draußen (in der 21-24 Tranche ist es noch drinnen)</t>
      </text>
    </comment>
    <comment ref="AS8" authorId="4" shapeId="0" xr:uid="{A1A061EC-1D97-4256-B4A6-41E906CDBFB6}">
      <text>
        <r>
          <rPr>
            <sz val="9"/>
            <color rgb="FF000000"/>
            <rFont val="Segoe UI"/>
            <charset val="1"/>
          </rPr>
          <t>20% ESG, 5 Ziele -&gt; 20/5=4</t>
        </r>
      </text>
    </comment>
    <comment ref="D9" authorId="4" shapeId="0" xr:uid="{885B13C8-5A7A-447A-A793-0B00BB4697A7}">
      <text>
        <r>
          <rPr>
            <sz val="9"/>
            <color rgb="FF000000"/>
            <rFont val="Segoe UI"/>
            <charset val="1"/>
          </rPr>
          <t>es ist eine Spanne von 15-28% angegeben</t>
        </r>
      </text>
    </comment>
    <comment ref="E9" authorId="33" shapeId="0" xr:uid="{58ED3AAC-6E52-7E47-9008-283AC4A8B5C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Der CEO hat das Ziel Digitalisierung und Nachhaltigkeit vorantreiben. Habe hier Nachhaltigkeit vorantreiben als allgemeines ESG Ziel eingeordnet. </t>
      </text>
    </comment>
    <comment ref="G9" authorId="34" shapeId="0" xr:uid="{AD7996B3-2B51-3946-9BD7-884F258BD5A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individuelle Ziele zählen mit 30% in die STI. Es gibt insgesamt 3, wobei Ich Digitalisierung und Nachhaltigkeit vorantreiben nochmal durch zwei geteilt habe, um Digitalisierung auszuschließen</t>
      </text>
    </comment>
    <comment ref="H9" authorId="4" shapeId="0" xr:uid="{19267835-CD9F-4FFC-9BC9-035B50F67C6A}">
      <text>
        <r>
          <rPr>
            <sz val="9"/>
            <color rgb="FF000000"/>
            <rFont val="Segoe UI"/>
            <charset val="1"/>
          </rPr>
          <t>individuelle Ziele unterscheiden sich</t>
        </r>
      </text>
    </comment>
    <comment ref="I9" authorId="4" shapeId="0" xr:uid="{E969B38E-3B21-48A8-95C0-056BBBB677E7}">
      <text>
        <r>
          <rPr>
            <sz val="9"/>
            <color rgb="FF000000"/>
            <rFont val="Segoe UI"/>
            <charset val="1"/>
          </rPr>
          <t>CEO</t>
        </r>
      </text>
    </comment>
    <comment ref="AD9" authorId="4" shapeId="0" xr:uid="{4C5B2F5A-F370-465D-AD92-9AF32648BF2B}">
      <text>
        <r>
          <rPr>
            <sz val="9"/>
            <color rgb="FF000000"/>
            <rFont val="Segoe UI"/>
            <charset val="1"/>
          </rPr>
          <t>Spanne von 28-56% angegeben (LTI und MAB (Mehrjahresbonus)
MAB jetzt nicht berücksichtigt, da es zum eine ESG relevanz hat aber auch nur einem Vorstandsmitglieb gewährt wurde</t>
        </r>
      </text>
    </comment>
    <comment ref="AI9" authorId="35" shapeId="0" xr:uid="{1872A48D-2A8A-5347-A3A2-128CE30870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Zwar gar kein MAB Bonus, diesen hat aber nur ein Vorstandsmitglied bekommen, deshalb nur die ZE des LTI verwendet und MAB ignoriert
Antwort:
    Reduktion der globalen Scope 1, 2 &amp; 3-Emissionen um 20% (ggü. 2018): 100%
Steigerung des Anteils recycelter Materialien in Plastikverpackungen um 20% (bis 2024): 100%
Transformation der "Big4" etablierten NIVEA-Produktreihen mit Fokus auf nachhaltige Formulierungen und Verpackungen: 97,5%
Erhöhung des Frauenanteils auf den Führungsebenen MG 1-4 auf 45%: 100%
Nachhaltigkeits-MG 1-4 einschließlich Steigerung der internen und internationalen Stellenbesetzung auf 75%: 100%
Diversity &amp; Inclusion Ziele: 100%</t>
      </text>
    </comment>
    <comment ref="AK9" authorId="36" shapeId="0" xr:uid="{89844B31-AD12-3344-8F5C-D8F51B62EE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Reduktion der globalen Scope 1, 2 &amp; 3-Emissionen um 20% (ggü. 2018): 100%</t>
      </text>
    </comment>
    <comment ref="AN9" authorId="4" shapeId="0" xr:uid="{09C505DD-E33A-4224-80BC-1502AD542F16}">
      <text>
        <r>
          <rPr>
            <sz val="9"/>
            <color rgb="FF000000"/>
            <rFont val="Segoe UI"/>
            <charset val="1"/>
          </rPr>
          <t>ZE: 100 bzw 97,5 %</t>
        </r>
      </text>
    </comment>
    <comment ref="AS9" authorId="4" shapeId="0" xr:uid="{EC31E44C-7D91-4C2B-BA8E-0CA716DB4CCC}">
      <text>
        <r>
          <rPr>
            <b/>
            <sz val="9"/>
            <color rgb="FF000000"/>
            <rFont val="Segoe UI"/>
            <charset val="1"/>
          </rPr>
          <t>Samuel Kruppa:</t>
        </r>
        <r>
          <rPr>
            <sz val="9"/>
            <color rgb="FF000000"/>
            <rFont val="Segoe UI"/>
            <charset val="1"/>
          </rPr>
          <t xml:space="preserve">
</t>
        </r>
        <r>
          <rPr>
            <sz val="9"/>
            <color rgb="FF000000"/>
            <rFont val="Segoe UI"/>
            <charset val="1"/>
          </rPr>
          <t>gemittelt nach S.22</t>
        </r>
      </text>
    </comment>
    <comment ref="AX9" authorId="37" shapeId="0" xr:uid="{FC9E0909-B376-1046-9988-48455E6EF7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Könnte man wegen interner Beförderungen nochmal durch 2 teilen</t>
      </text>
    </comment>
    <comment ref="AY9" authorId="38" shapeId="0" xr:uid="{E000038A-C205-8646-9E6F-709E020B472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MAB und LTI cap = 200</t>
      </text>
    </comment>
    <comment ref="D10" authorId="4" shapeId="0" xr:uid="{E62FC6A6-1B03-47C8-A463-307E4A1770BA}">
      <text>
        <r>
          <rPr>
            <sz val="9"/>
            <color rgb="FF000000"/>
            <rFont val="Segoe UI"/>
            <charset val="1"/>
          </rPr>
          <t>Tantieme, Spanne von 27-30 % angegeben. S.380</t>
        </r>
      </text>
    </comment>
    <comment ref="E10" authorId="4" shapeId="0" xr:uid="{BE06E84A-2A2D-4AEE-BE1A-310C3E3BCE58}">
      <text>
        <r>
          <rPr>
            <sz val="9"/>
            <color rgb="FF000000"/>
            <rFont val="Segoe UI"/>
            <charset val="1"/>
          </rPr>
          <t xml:space="preserve">5 ressortübergreifende ESG-Ziele, 3 Gemeinschaftliche Ziele aller Mitglieder der Vorstands, 1 des CEO
</t>
        </r>
        <r>
          <rPr>
            <sz val="9"/>
            <color rgb="FF000000"/>
            <rFont val="Segoe UI"/>
            <charset val="1"/>
          </rPr>
          <t xml:space="preserve">Man könnte überlegen noch Kundenbetreuung und Zukunftsportfolio der MArken aufzenehmen </t>
        </r>
      </text>
    </comment>
    <comment ref="G10" authorId="4" shapeId="0" xr:uid="{66F09F80-BC55-4B90-8908-D2703EECF4BF}">
      <text>
        <r>
          <rPr>
            <sz val="9"/>
            <color rgb="FF000000"/>
            <rFont val="Segoe UI"/>
            <charset val="1"/>
          </rPr>
          <t>50% der Leistungskomponente der Tantieme, S.389, und 3 1/3 von 8 Zielen der gemeinschaftlichen bzw spezifsichen Ressortziele -&gt; nochmal durch zwei weil die Leistungskomponente nur 50% der STI ausmacht</t>
        </r>
      </text>
    </comment>
    <comment ref="I10" authorId="4" shapeId="0" xr:uid="{B77ACFA0-45B5-4D43-A068-23574FD38264}">
      <text>
        <r>
          <rPr>
            <sz val="9"/>
            <color rgb="FF000000"/>
            <rFont val="Segoe UI"/>
            <charset val="1"/>
          </rPr>
          <t xml:space="preserve">CEO
</t>
        </r>
        <r>
          <rPr>
            <sz val="9"/>
            <color rgb="FF000000"/>
            <rFont val="Segoe UI"/>
            <charset val="1"/>
          </rPr>
          <t xml:space="preserve">Leistungskomponente 1,
</t>
        </r>
        <r>
          <rPr>
            <sz val="9"/>
            <color rgb="FF000000"/>
            <rFont val="Segoe UI"/>
            <charset val="1"/>
          </rPr>
          <t xml:space="preserve">Ergebniskomponente 0,909 (beide zu 50% gewichtet)
</t>
        </r>
        <r>
          <rPr>
            <sz val="10"/>
            <color rgb="FF000000"/>
            <rFont val="Aptos Narrow"/>
            <scheme val="minor"/>
          </rPr>
          <t xml:space="preserve">Ressortübergreifende Ziele – ESG 
</t>
        </r>
        <r>
          <rPr>
            <sz val="9"/>
            <color rgb="FF000000"/>
            <rFont val="Segoe UI"/>
            <charset val="1"/>
          </rPr>
          <t>ZE: 104</t>
        </r>
      </text>
    </comment>
    <comment ref="N10" authorId="39" shapeId="0" xr:uid="{297295B7-FA96-E341-8B6E-37BABF29DB8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Ergebniskomponente 50% von STI, davon 50% rein ESG und 5 Unterziele</t>
      </text>
    </comment>
    <comment ref="R10" authorId="40" shapeId="0" xr:uid="{00B1EC70-6BE0-3749-B449-CDE6B520F2C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Wandlungsfähigkeit an sich ESG, aber vom letzten Jahr übernommen</t>
      </text>
    </comment>
    <comment ref="S10" authorId="41" shapeId="0" xr:uid="{1CBA514D-7091-5E4B-8CC1-2C794F5D2E3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Hälfte des STI sind Erfolgskomponenten, davon 50 Prozent nur ESG Ziele (5) und von anderen 10% (insgesamt 8 Ziele) gibt es 4 relevante, wobei eines durch 3 geteilt wurde weil nur ein Punkt von den drei genannten wichtig ist</t>
      </text>
    </comment>
    <comment ref="U10" authorId="4" shapeId="0" xr:uid="{5C7A46E0-D6DC-4313-9063-59EBE6F0526C}">
      <text>
        <r>
          <rPr>
            <sz val="10"/>
            <color rgb="FF000000"/>
            <rFont val="Aptos Narrow"/>
          </rPr>
          <t xml:space="preserve">Präventionsleistung Compliance im Ressort
</t>
        </r>
        <r>
          <rPr>
            <sz val="11"/>
            <color rgb="FF000000"/>
            <rFont val="Aptos Narrow"/>
            <family val="2"/>
          </rPr>
          <t>Reputation nicht aufgenommen (war aber letztes Jahr, in meinen Augen falsch</t>
        </r>
      </text>
    </comment>
    <comment ref="AD10" authorId="4" shapeId="0" xr:uid="{CD8463C9-3A61-4405-B97B-4CBA41D1F687}">
      <text>
        <r>
          <rPr>
            <sz val="9"/>
            <color rgb="FF000000"/>
            <rFont val="Segoe UI"/>
            <charset val="1"/>
          </rPr>
          <t xml:space="preserve">Aktienorientierte Vergütung, Spanne von 31-36 % angegeben. S.380, </t>
        </r>
      </text>
    </comment>
    <comment ref="AI10" authorId="42" shapeId="0" xr:uid="{3116FF8E-3658-094C-8FD0-CB1DE19521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Flotten CO2: ZE: 130, Absatz BEV: ZE: 0 -&gt; ESG insgesamt 65%
Antwort:
    Da ROEC ZE =0 -&gt; gesamt ZE = 0+65/2</t>
      </text>
    </comment>
    <comment ref="AK10" authorId="4" shapeId="0" xr:uid="{C1F63D9F-73D1-4449-9E9C-36FB5FA4AE5A}">
      <text>
        <r>
          <rPr>
            <sz val="9"/>
            <color rgb="FF000000"/>
            <rFont val="Segoe UI"/>
            <charset val="1"/>
          </rPr>
          <t>Reduktion C02.Flottenemissionen EU, 130</t>
        </r>
      </text>
    </comment>
    <comment ref="AM10" authorId="4" shapeId="0" xr:uid="{BF9A04F0-E914-4625-A759-7F23821EFD1B}">
      <text>
        <r>
          <rPr>
            <sz val="9"/>
            <color rgb="FF000000"/>
            <rFont val="Segoe UI"/>
            <charset val="1"/>
          </rPr>
          <t>ZE: 0</t>
        </r>
      </text>
    </comment>
    <comment ref="D11" authorId="4" shapeId="0" xr:uid="{5A81834A-65FC-44EC-8E31-27D99BF557CC}">
      <text>
        <r>
          <rPr>
            <sz val="9"/>
            <color rgb="FF000000"/>
            <rFont val="Segoe UI"/>
            <charset val="1"/>
          </rPr>
          <t>CEO, S.255</t>
        </r>
      </text>
    </comment>
    <comment ref="F11" authorId="4" shapeId="0" xr:uid="{B543AB31-D128-4B77-82B4-48D3EAD18FD6}">
      <text>
        <r>
          <rPr>
            <sz val="9"/>
            <color rgb="FF000000"/>
            <rFont val="Segoe UI"/>
            <charset val="1"/>
          </rPr>
          <t xml:space="preserve">Individueller
</t>
        </r>
        <r>
          <rPr>
            <sz val="9"/>
            <color rgb="FF000000"/>
            <rFont val="Segoe UI"/>
            <charset val="1"/>
          </rPr>
          <t xml:space="preserve">Leistungsmultiplikator
</t>
        </r>
        <r>
          <rPr>
            <sz val="9"/>
            <color rgb="FF000000"/>
            <rFont val="Segoe UI"/>
            <charset val="1"/>
          </rPr>
          <t>(0,8 bis 1,2)</t>
        </r>
      </text>
    </comment>
    <comment ref="G11" authorId="43" shapeId="0" xr:uid="{96F19E05-2135-C145-ACDC-C42CB897B6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9 KPIs,5 davon ESG</t>
      </text>
    </comment>
    <comment ref="H11" authorId="44" shapeId="0" xr:uid="{0D3E98F9-48BD-6949-ACB6-396D9B625EA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Gleich mit auf jeden Fall 3 Vorstandsmitgliedern, mit anderen teils unterschiede</t>
      </text>
    </comment>
    <comment ref="I11" authorId="4" shapeId="0" xr:uid="{38497314-9722-41A8-8EC1-819DA8293A4B}">
      <text>
        <r>
          <rPr>
            <sz val="9"/>
            <color rgb="FF000000"/>
            <rFont val="Segoe UI"/>
            <charset val="1"/>
          </rPr>
          <t>CEO S.265, individueller leistungsfaktor mit finanziellen KPIs multipliziert</t>
        </r>
      </text>
    </comment>
    <comment ref="AD11" authorId="4" shapeId="0" xr:uid="{BD5BFDB7-13E1-4E83-AD70-62A595F8F95D}">
      <text>
        <r>
          <rPr>
            <sz val="9"/>
            <color rgb="FF000000"/>
            <rFont val="Segoe UI"/>
            <charset val="1"/>
          </rPr>
          <t>CEO, S.255</t>
        </r>
      </text>
    </comment>
    <comment ref="AE11" authorId="4" shapeId="0" xr:uid="{80BD0846-CB8D-439D-81C6-C2A505B3D3A0}">
      <text>
        <r>
          <rPr>
            <sz val="9"/>
            <color rgb="FF000000"/>
            <rFont val="Aptos Narrow"/>
          </rPr>
          <t xml:space="preserve">Basierend auf der Relevanz der strategischen ESG-
</t>
        </r>
        <r>
          <rPr>
            <sz val="9"/>
            <color rgb="FF000000"/>
            <rFont val="Aptos Narrow"/>
          </rPr>
          <t xml:space="preserve">Schwerpunkte, die einer kontinuierlichen Weiterentwicklung
</t>
        </r>
        <r>
          <rPr>
            <sz val="9"/>
            <color rgb="FF000000"/>
            <rFont val="Aptos Narrow"/>
          </rPr>
          <t xml:space="preserve">unterliegen, wählt der Aufsichtsrat bis zu drei Leistungskrite-
</t>
        </r>
        <r>
          <rPr>
            <sz val="9"/>
            <color rgb="FF000000"/>
            <rFont val="Aptos Narrow"/>
          </rPr>
          <t xml:space="preserve">rien aus und definiert Zielwerte, die am Ende des Perfor-
</t>
        </r>
        <r>
          <rPr>
            <sz val="9"/>
            <color rgb="FF000000"/>
            <rFont val="Aptos Narrow"/>
          </rPr>
          <t xml:space="preserve">mancezeitraums der jeweiligen Tranche erreicht werden sol-
</t>
        </r>
        <r>
          <rPr>
            <sz val="9"/>
            <color rgb="FF000000"/>
            <rFont val="Aptos Narrow"/>
          </rPr>
          <t xml:space="preserve">len und zu einem Multiplikator zwischen 0,8 und 1,2 für jedes
</t>
        </r>
        <r>
          <rPr>
            <sz val="9"/>
            <color rgb="FF000000"/>
            <rFont val="Aptos Narrow"/>
          </rPr>
          <t xml:space="preserve">ESG-Ziel führen. Die Multiplikatoren für jedes ESG-Ziel werden
</t>
        </r>
        <r>
          <rPr>
            <sz val="9"/>
            <color rgb="FF000000"/>
            <rFont val="Aptos Narrow"/>
          </rPr>
          <t xml:space="preserve">gleich gewichtet, sodass sich ein Gesamt-ESG-Multiplikator
</t>
        </r>
        <r>
          <rPr>
            <sz val="9"/>
            <color rgb="FF000000"/>
            <rFont val="Aptos Narrow"/>
          </rPr>
          <t xml:space="preserve">zwischen 0,8 und 1,2 ergibt.
</t>
        </r>
        <r>
          <rPr>
            <sz val="9"/>
            <color rgb="FF000000"/>
            <rFont val="Segoe UI"/>
            <charset val="1"/>
          </rPr>
          <t xml:space="preserve">nicht weiter erklärt bzw. keine Unterpunkte angegeben werden.
</t>
        </r>
        <r>
          <rPr>
            <sz val="9"/>
            <color rgb="FF000000"/>
            <rFont val="Aptos Narrow"/>
          </rPr>
          <t xml:space="preserve">So lauten die spezifischen ESG-Ziele für die Tranchen 2023–
</t>
        </r>
        <r>
          <rPr>
            <sz val="9"/>
            <color rgb="FF000000"/>
            <rFont val="Aptos Narrow"/>
          </rPr>
          <t xml:space="preserve">2026
</t>
        </r>
        <r>
          <rPr>
            <sz val="9"/>
            <color rgb="FF000000"/>
            <rFont val="Aptos Narrow"/>
          </rPr>
          <t xml:space="preserve">
</t>
        </r>
        <r>
          <rPr>
            <sz val="9"/>
            <color rgb="FF000000"/>
            <rFont val="Aptos Narrow"/>
          </rPr>
          <t xml:space="preserve">Reduktion der Treibhausgasemissionen (Scope 1 und
</t>
        </r>
        <r>
          <rPr>
            <sz val="9"/>
            <color rgb="FF000000"/>
            <rFont val="Aptos Narrow"/>
          </rPr>
          <t xml:space="preserve">Scope 2)
</t>
        </r>
        <r>
          <rPr>
            <sz val="9"/>
            <color rgb="FF000000"/>
            <rFont val="Aptos Narrow"/>
          </rPr>
          <t xml:space="preserve">Weitere Erhöhung der Arbeitssicherheit (Reduktion der
</t>
        </r>
        <r>
          <rPr>
            <sz val="9"/>
            <color rgb="FF000000"/>
            <rFont val="Aptos Narrow"/>
          </rPr>
          <t xml:space="preserve">Total Recordable Injury Frequency Rate [TRIR])
</t>
        </r>
        <r>
          <rPr>
            <sz val="9"/>
            <color rgb="FF000000"/>
            <rFont val="Aptos Narrow"/>
          </rPr>
          <t xml:space="preserve">Steigerung des Anteils weiblicher Mitarbeitender auf
</t>
        </r>
        <r>
          <rPr>
            <sz val="9"/>
            <color rgb="FF000000"/>
            <rFont val="Aptos Narrow"/>
          </rPr>
          <t xml:space="preserve">unterschiedlichen Managementebenen
</t>
        </r>
        <r>
          <rPr>
            <sz val="9"/>
            <color rgb="FF000000"/>
            <rFont val="Aptos Narrow"/>
          </rPr>
          <t xml:space="preserve">
</t>
        </r>
      </text>
    </comment>
    <comment ref="AF11" authorId="4" shapeId="0" xr:uid="{A83C3A24-C220-468E-B738-103006241A5D}">
      <text>
        <r>
          <rPr>
            <sz val="9"/>
            <color rgb="FF000000"/>
            <rFont val="Segoe UI"/>
            <charset val="1"/>
          </rPr>
          <t xml:space="preserve">Es gibt einen ESG-Multiplikator (0,8 - 1,2), </t>
        </r>
      </text>
    </comment>
    <comment ref="AI11" authorId="4" shapeId="0" xr:uid="{07D78A74-12E9-413C-8739-1D707A3B9BDB}">
      <text>
        <r>
          <rPr>
            <sz val="9"/>
            <color rgb="FF000000"/>
            <rFont val="Segoe UI"/>
            <charset val="1"/>
          </rPr>
          <t>CEO, S.265</t>
        </r>
      </text>
    </comment>
    <comment ref="AK11" authorId="45" shapeId="0" xr:uid="{B44AD84F-BEA2-1D49-AF72-E975640B253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Reduktion der Treibhausgasemissionen (Scope 1 und
Scope 2)</t>
      </text>
    </comment>
    <comment ref="D12" authorId="4" shapeId="0" xr:uid="{176AF92F-17D9-405C-A897-3254F912C8AB}">
      <text>
        <r>
          <rPr>
            <sz val="9"/>
            <color rgb="FF000000"/>
            <rFont val="Segoe UI"/>
            <charset val="1"/>
          </rPr>
          <t xml:space="preserve">STI sind 40% der variablen Vergütung, </t>
        </r>
      </text>
    </comment>
    <comment ref="G12" authorId="4" shapeId="0" xr:uid="{D5C39D71-860F-4072-98AB-D76A5117A756}">
      <text>
        <r>
          <rPr>
            <sz val="9"/>
            <color rgb="FF000000"/>
            <rFont val="Segoe UI"/>
            <charset val="1"/>
          </rPr>
          <t xml:space="preserve">CEO
</t>
        </r>
        <r>
          <rPr>
            <sz val="9"/>
            <color rgb="FF000000"/>
            <rFont val="Segoe UI"/>
            <charset val="1"/>
          </rPr>
          <t>60% kernziele (davon 20% esg) + 30% Ressortziele (davon 20% esg) + 10% indv. Ziele (davon 80% esg) (ohne Moniten wären es 24%)</t>
        </r>
      </text>
    </comment>
    <comment ref="I12" authorId="46" shapeId="0" xr:uid="{12815ADD-0C2D-6040-B3F3-EEF0462F1E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Dr. Bettina Orlopp (new CEO)
Antwort:
    Einhaltung der Intensitäts-
Zielwerte (CO2):49%, Reduktion des CO2-Ausstoßes 119%, Frauenanteil: 150%, Aktives Vorleben und Fördern der
Unternehmenswerte und der Culture of Integrity 89%, Stärkung der Zusammenarbeit im
Vorstand 115%</t>
      </text>
    </comment>
    <comment ref="K12" authorId="4" shapeId="0" xr:uid="{28A14FB9-63AE-4911-9A1E-DF0E2F07D12C}">
      <text>
        <r>
          <rPr>
            <sz val="9"/>
            <color rgb="FF000000"/>
            <rFont val="Aptos Narrow"/>
          </rPr>
          <t xml:space="preserve">Reduktion des Gesamt-CO2-Aus-
</t>
        </r>
        <r>
          <rPr>
            <sz val="9"/>
            <color rgb="FF000000"/>
            <rFont val="Aptos Narrow"/>
          </rPr>
          <t xml:space="preserve">stoßes des eigenen Bankbetriebs
</t>
        </r>
        <r>
          <rPr>
            <sz val="9"/>
            <color rgb="FF000000"/>
            <rFont val="Aptos Narrow"/>
          </rPr>
          <t xml:space="preserve">der Commerzbank AG um 5 %
</t>
        </r>
      </text>
    </comment>
    <comment ref="L12" authorId="4" shapeId="0" xr:uid="{6E779684-0826-481C-B645-AC3124E92394}">
      <text>
        <r>
          <rPr>
            <sz val="9"/>
            <color rgb="FF000000"/>
            <rFont val="Segoe UI"/>
            <charset val="1"/>
          </rPr>
          <t>60% aus Konzernziehlen, davon 20% ESG und 50 Ziele insgesamt -&gt;60*0,2/5</t>
        </r>
      </text>
    </comment>
    <comment ref="N12" authorId="47" shapeId="0" xr:uid="{ECDBC9B9-8627-4F4C-B0ED-D195D124534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60% aus Konzernziehlen, davon 20% ESG und 50 Ziele insgesamt -&gt;60*0,2/5
</t>
      </text>
    </comment>
    <comment ref="S12" authorId="48" shapeId="0" xr:uid="{757B3D1C-C3AD-9643-A49A-2268756E4C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Individuelle Ziele von CE= 30§ -&gt; davon 20% S Ziel</t>
      </text>
    </comment>
    <comment ref="U12" authorId="49" shapeId="0" xr:uid="{FC29F62E-A06F-DA49-A875-AE62244191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Abarbeitung von externen und internen Moniten</t>
      </text>
    </comment>
    <comment ref="AI12" authorId="50" shapeId="0" xr:uid="{EA69F3BB-77BE-984A-82BC-B846B575642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Einhaltung der Intensitäts-
Zielwerte (CO2):49%, Reduktion des CO2-Ausstoßes 119%, Frauenanteil: 150%, Aktives Vorleben und Fördern der
Unternehmenswerte und der Culture of Integrity 89%, Stärkung der Zusammenarbeit im
Vorstand 115%</t>
      </text>
    </comment>
    <comment ref="AK12" authorId="4" shapeId="0" xr:uid="{C17DC26A-3D9F-DC4A-9C32-9C2758A56CAD}">
      <text>
        <r>
          <rPr>
            <sz val="9"/>
            <color rgb="FF000000"/>
            <rFont val="Aptos Narrow"/>
          </rPr>
          <t xml:space="preserve">Reduktion des Gesamt-CO2-Aus-
</t>
        </r>
        <r>
          <rPr>
            <sz val="9"/>
            <color rgb="FF000000"/>
            <rFont val="Aptos Narrow"/>
          </rPr>
          <t xml:space="preserve">stoßes des eigenen Bankbetriebs
</t>
        </r>
        <r>
          <rPr>
            <sz val="9"/>
            <color rgb="FF000000"/>
            <rFont val="Aptos Narrow"/>
          </rPr>
          <t xml:space="preserve">der Commerzbank AG um 5 %
</t>
        </r>
      </text>
    </comment>
    <comment ref="AL12" authorId="4" shapeId="0" xr:uid="{D180C068-D6AB-2C46-BA44-A00613009C5C}">
      <text>
        <r>
          <rPr>
            <sz val="9"/>
            <color rgb="FF000000"/>
            <rFont val="Segoe UI"/>
            <charset val="1"/>
          </rPr>
          <t>60% aus Konzernziehlen, davon 20% ESG und 50 Ziele insgesamt -&gt;60*0,2/5</t>
        </r>
      </text>
    </comment>
    <comment ref="AN12" authorId="51" shapeId="0" xr:uid="{740E5B56-D671-AF40-802B-A1D9DFF6F72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60% aus Konzernziehlen, davon 20% ESG und 50 Ziele insgesamt -&gt;60*0,2/5
</t>
      </text>
    </comment>
    <comment ref="AS12" authorId="52" shapeId="0" xr:uid="{E601E27D-000D-0E4B-A90D-34B7F064D2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Individuelle Ziele von CE= 30§ -&gt; davon 20% S Ziel</t>
      </text>
    </comment>
    <comment ref="AU12" authorId="53" shapeId="0" xr:uid="{A1B2D589-8AD4-0642-9139-5468901FCC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Abarbeitung von externen und internen Moniten</t>
      </text>
    </comment>
    <comment ref="D13" authorId="4" shapeId="0" xr:uid="{1ADA8886-C613-4987-86BC-44963A9A038D}">
      <text>
        <r>
          <rPr>
            <sz val="9"/>
            <color rgb="FF000000"/>
            <rFont val="Segoe UI"/>
            <family val="2"/>
            <charset val="1"/>
          </rPr>
          <t xml:space="preserve">aus Grafik, S.6, </t>
        </r>
      </text>
    </comment>
    <comment ref="E13" authorId="54" shapeId="0" xr:uid="{E4F1916B-A6D3-F44D-A059-D0FC35E957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Habe ich jetzt zu Mitarbeiterzufriedenheit Zugeordnet, besteht aus 6 Fragen an die Mitarbeiter (vgl. S. 17), alternativ allgemein ESG</t>
      </text>
    </comment>
    <comment ref="I13" authorId="4" shapeId="0" xr:uid="{E2982948-9001-42A3-9766-5769FCB9D13E}">
      <text>
        <r>
          <rPr>
            <sz val="9"/>
            <color rgb="FF000000"/>
            <rFont val="Segoe UI"/>
            <charset val="1"/>
          </rPr>
          <t xml:space="preserve">CEO
</t>
        </r>
        <r>
          <rPr>
            <sz val="9"/>
            <color rgb="FF000000"/>
            <rFont val="Segoe UI"/>
            <charset val="1"/>
          </rPr>
          <t>0% ZE für ESG Ziehl</t>
        </r>
      </text>
    </comment>
    <comment ref="AD13" authorId="4" shapeId="0" xr:uid="{A09B1EA2-0C85-4E38-9F75-D84602C52D0E}">
      <text>
        <r>
          <rPr>
            <sz val="9"/>
            <color rgb="FF000000"/>
            <rFont val="Segoe UI"/>
            <family val="2"/>
            <charset val="1"/>
          </rPr>
          <t>aus Grafik, S.6</t>
        </r>
      </text>
    </comment>
    <comment ref="AE13" authorId="55" shapeId="0" xr:uid="{25310429-A25F-2A45-A2EF-84F69773D70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S. 10 die KPIs der neu begonnenen Tranche genommen und nicht der Auslaufenden (erschien mir sinnvoller)</t>
      </text>
    </comment>
    <comment ref="AI13" authorId="4" shapeId="0" xr:uid="{0CB3C896-D6CF-4294-82BA-808A060A67F8}">
      <text>
        <r>
          <rPr>
            <sz val="9"/>
            <color rgb="FF000000"/>
            <rFont val="Segoe UI"/>
            <family val="2"/>
            <charset val="1"/>
          </rPr>
          <t>S.22, Tranche 21-24
Nachhaltigkeitsfaktor 1,06: 
0,7 Ausgangsfaktor, +0,12 durch CO2 Emission, +0,12 durch Abfallverwertungsquote, +0,12 durch Unfallhäufigkeit, +0/0 durch Nachhaltiges Engagement und Frauen in Führungspositionen. KPIs weichen ab da es sich um eine ältere Branche mit einem anderen Vergütungsystem handelt</t>
        </r>
      </text>
    </comment>
    <comment ref="AL13" authorId="56" shapeId="0" xr:uid="{34E7BE5D-F86F-DF46-8AEF-D5529DC38CE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 ESG Ziele, 20% ESG Anteil</t>
      </text>
    </comment>
    <comment ref="AR13" authorId="4" shapeId="0" xr:uid="{85AE4383-2BB1-4700-B91C-84B7790FD8A6}">
      <text>
        <r>
          <rPr>
            <b/>
            <sz val="9"/>
            <color rgb="FF000000"/>
            <rFont val="Segoe UI"/>
            <charset val="1"/>
          </rPr>
          <t>Samuel Kruppa:</t>
        </r>
        <r>
          <rPr>
            <sz val="9"/>
            <color rgb="FF000000"/>
            <rFont val="Segoe UI"/>
            <charset val="1"/>
          </rPr>
          <t xml:space="preserve">
</t>
        </r>
        <r>
          <rPr>
            <sz val="9"/>
            <color rgb="FF000000"/>
            <rFont val="Segoe UI"/>
            <charset val="1"/>
          </rPr>
          <t>3 von 6 ESG-Zielen, je erreichtes Ziel erhöht sich der ESG-Faktor um 0,1</t>
        </r>
      </text>
    </comment>
    <comment ref="AS13" authorId="4" shapeId="0" xr:uid="{5372B7F1-F184-488E-B48F-869299FBCDC0}">
      <text>
        <r>
          <rPr>
            <b/>
            <sz val="9"/>
            <color rgb="FF000000"/>
            <rFont val="Segoe UI"/>
            <charset val="1"/>
          </rPr>
          <t>Samuel Kruppa:</t>
        </r>
        <r>
          <rPr>
            <sz val="9"/>
            <color rgb="FF000000"/>
            <rFont val="Segoe UI"/>
            <charset val="1"/>
          </rPr>
          <t xml:space="preserve">
</t>
        </r>
        <r>
          <rPr>
            <sz val="9"/>
            <color rgb="FF000000"/>
            <rFont val="Segoe UI"/>
            <charset val="1"/>
          </rPr>
          <t>es gibt 6 ESG-Ziele, je erreichtes Ziel erhöht sich der ESG-Faktor um 0,1</t>
        </r>
      </text>
    </comment>
    <comment ref="AX13" authorId="4" shapeId="0" xr:uid="{2529C990-6ADC-4521-B9D3-4533FC864AC5}">
      <text>
        <r>
          <rPr>
            <b/>
            <sz val="9"/>
            <color rgb="FF000000"/>
            <rFont val="Segoe UI"/>
            <charset val="1"/>
          </rPr>
          <t>Samuel Kruppa:</t>
        </r>
        <r>
          <rPr>
            <sz val="9"/>
            <color rgb="FF000000"/>
            <rFont val="Segoe UI"/>
            <charset val="1"/>
          </rPr>
          <t xml:space="preserve">
</t>
        </r>
        <r>
          <rPr>
            <sz val="9"/>
            <color rgb="FF000000"/>
            <rFont val="Segoe UI"/>
            <charset val="1"/>
          </rPr>
          <t>es gibt 6 ESG-Ziele, je erreichtes Ziel erhöht sich der ESG-Faktor um 0,1</t>
        </r>
      </text>
    </comment>
    <comment ref="D14" authorId="4" shapeId="0" xr:uid="{2A6B7284-2B19-4DCC-88F6-EAB3D05F0043}">
      <text>
        <r>
          <rPr>
            <sz val="9"/>
            <color rgb="FF000000"/>
            <rFont val="Segoe UI"/>
            <charset val="1"/>
          </rPr>
          <t xml:space="preserve">Spanne von 20-34%, S.5 </t>
        </r>
      </text>
    </comment>
    <comment ref="I14" authorId="57" shapeId="0" xr:uid="{AC3CBBD5-3A8E-A444-866E-CF3F5933E7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ZE abgesetzte ZEV: 35%, ZE Wohlbefinden der Mitarbeiter: 130 
CEO</t>
      </text>
    </comment>
    <comment ref="M14" authorId="58" shapeId="0" xr:uid="{8747EC29-E7EB-404D-BFA3-10D0AF6B02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ZE: 35%</t>
      </text>
    </comment>
    <comment ref="P14" authorId="59" shapeId="0" xr:uid="{ED0D6602-01BD-2D40-B589-4D7E84C7B68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Wohlbefinden der Mitarbeiter ZE: 130%</t>
      </text>
    </comment>
    <comment ref="AD14" authorId="4" shapeId="0" xr:uid="{1F7C4C5B-F81D-490B-A9BE-3DCD91013BEB}">
      <text>
        <r>
          <rPr>
            <sz val="9"/>
            <color rgb="FF000000"/>
            <rFont val="Segoe UI"/>
            <charset val="1"/>
          </rPr>
          <t>Spanne von 35-50%, S.5</t>
        </r>
      </text>
    </comment>
    <comment ref="AI14" authorId="60" shapeId="0" xr:uid="{FA833B06-49A8-A44F-90E2-C3E42D2A5D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Habe hier den alten CEO herangezogen, da der neue erst seit ein paar Monaten im Amt ist und somit 0 LTI hat,</t>
      </text>
    </comment>
    <comment ref="AK14" authorId="4" shapeId="0" xr:uid="{B44FFEB5-3C22-4DE9-A5E1-26C7793DB84D}">
      <text>
        <r>
          <rPr>
            <sz val="9"/>
            <color rgb="FF000000"/>
            <rFont val="Segoe UI"/>
            <charset val="1"/>
          </rPr>
          <t xml:space="preserve">Reduktion der CO2-Emissionen von Produktionsstätten
</t>
        </r>
        <r>
          <rPr>
            <sz val="9"/>
            <color rgb="FF000000"/>
            <rFont val="Segoe UI"/>
            <charset val="1"/>
          </rPr>
          <t>des Daimler Truck Konzerns</t>
        </r>
      </text>
    </comment>
    <comment ref="AL14" authorId="4" shapeId="0" xr:uid="{40C3A0E8-7CEC-4041-8138-201748159A4A}">
      <text>
        <r>
          <rPr>
            <sz val="9"/>
            <color rgb="FF000000"/>
            <rFont val="Segoe UI"/>
            <charset val="1"/>
          </rPr>
          <t xml:space="preserve">gemittelt, außerdem wurde es erwähnt das Klimathemen mit 12% gewichtet sind (denke es wurde grundet
</t>
        </r>
      </text>
    </comment>
    <comment ref="AS14" authorId="4" shapeId="0" xr:uid="{A9050333-ACEF-43A9-8EBD-2F103EF7548F}">
      <text>
        <r>
          <rPr>
            <sz val="9"/>
            <color rgb="FF000000"/>
            <rFont val="Segoe UI"/>
            <charset val="1"/>
          </rPr>
          <t xml:space="preserve">gemittelt, 25% insgestmat beide Kriterien </t>
        </r>
      </text>
    </comment>
    <comment ref="D15" authorId="61" shapeId="0" xr:uid="{6FFFCE3C-D53F-D541-B2A1-72A6A3B392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S.7 CEO Zielvergütung</t>
      </text>
    </comment>
    <comment ref="I15" authorId="62" shapeId="0" xr:uid="{3A620AF9-3604-F446-BF63-D7F522914DB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Antwort:
    Vorantreiben der
Behebung regulatorischer
Feststellungen und
Kontrollverbesserungen: ZE 70%</t>
      </text>
    </comment>
    <comment ref="AD15" authorId="63" shapeId="0" xr:uid="{C3D4FF4D-E14B-5746-901E-380734199C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nach S. 7</t>
      </text>
    </comment>
    <comment ref="AI15" authorId="64" shapeId="0" xr:uid="{408369F1-1D1D-BA45-8C64-61445E37E3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Aufgrund der Umstellung von einer rückwärtsgerichteten auf eine vorwärts gerichtete 3-jährige
Leistungsbemessungsperiode sind die ersten beiden Jahre nach Einführung des neuen Systems (2024 und 2025)
Übergangsjahre („Übergangsphase“). Die Awards des ersten Long-Term Incentive -Plans (LTI-Plan 2024-2026) werden erst
Anfang 2027 gewährt. Während der Übergangsphase wird der LTI zu Berechnungs- und Vergleichszwecken mit dem
Zielbetrag ausgewiesen
Antwort:
    Habe deswegen 100 übernommen</t>
      </text>
    </comment>
    <comment ref="AJ15" authorId="65" shapeId="0" xr:uid="{2BD7D136-352A-EB4E-9A56-5CEB7E4CEE3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Umweltziel: Das Ziel, das Klimarisikomanagement voranzutreiben, ist mit den Reduktionszielen für
kohlenstoffintensive Sektoren verknüpft, die durch die Festlegung von CO2-Reduktionszielen für Schlüsselindustrien
offengelegt wurden. Diese Kennzahl misst die Entwicklung im Vergleich zum veröffentlichten Pfad nebst einer
zulässigen Abweichung (Risikobereitschaft)</t>
      </text>
    </comment>
    <comment ref="AR15" authorId="66" shapeId="0" xr:uid="{756E78F1-39E2-634A-A776-9FDDC754F0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Soziales Ziel: Das Ziel, der Erhöhung der Geschlechtervielfalt im Sinne des Zweiten Führungspositionengesetzes
(FüPOG II), konzentriert sich auf die Repräsentanz von Frauen auf den beiden Ebenen unterhalb des Vorstands
(Vorstandsebene- 1 und Vorstandsebene-2-Positionen), was der Diskriminierung in der Nachfolgeplanung des
Vorstands entgegenwirkt und die Chancengleichheit fördert</t>
      </text>
    </comment>
    <comment ref="AW15" authorId="67" shapeId="0" xr:uid="{FE765E88-371B-4346-85EA-478F9FC3CC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Governance Ziel: Das Ziel der guten Unternehmensführung besteht aus dem Control-Risk-Management-Grade
(CRMG) und den Fortschritten, die bei den Anti-Geldwäsche / Know-Your-Client-Verbesserungsmaßnahmen erzielt
wurden.</t>
      </text>
    </comment>
    <comment ref="AX15" authorId="4" shapeId="0" xr:uid="{2D201000-E883-47F7-846F-A9AC283FE226}">
      <text>
        <r>
          <rPr>
            <sz val="9"/>
            <color rgb="FF000000"/>
            <rFont val="Segoe UI"/>
            <charset val="1"/>
          </rPr>
          <t xml:space="preserve">33% der LTI sind ESG-Ziele. DIese Ziele sind 2:1:2 gewichtet </t>
        </r>
      </text>
    </comment>
    <comment ref="I16" authorId="4" shapeId="0" xr:uid="{CFB5F2D3-4A6E-4B2C-A0A9-8F2637C87517}">
      <text>
        <r>
          <rPr>
            <sz val="9"/>
            <color rgb="FF000000"/>
            <rFont val="Segoe UI"/>
            <family val="2"/>
            <charset val="1"/>
          </rPr>
          <t xml:space="preserve">CEO
</t>
        </r>
        <r>
          <rPr>
            <sz val="9"/>
            <color rgb="FF000000"/>
            <rFont val="Segoe UI"/>
            <family val="2"/>
            <charset val="1"/>
          </rPr>
          <t>ZE Übergangsmanagement 170%
Effektiver umgang mit Kritischen Situationen ZE 180%</t>
        </r>
      </text>
    </comment>
    <comment ref="U16" authorId="68" shapeId="0" xr:uid="{B97926E2-B211-7143-8ACD-E9FFD14CEBD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Effektiver Umgang mit kritischen Situationen (d. h. Cum-Ex-Thematik, Feststellungen, Interaktionen mit Regulatoren, rechtli-
che Verfahren sowie weitere ad hoc auftretende Themen)</t>
      </text>
    </comment>
    <comment ref="AI16" authorId="69" shapeId="0" xr:uid="{5D0F2B5A-1FA3-5440-AC96-E581181367A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Jahr 2024 Lag die ZE für die ESG Ziele bei 222,22 für externe Sicht (ESG), 169,23 bei Mitarbeiterzufriedenheit, bei 157,52 bei Ausbau des ESG Geschäfts sowie bei 120 für CO2 Neutralität -&gt; sprich insgesamt  167,24 für alle ESG Ziele
Antwort:
    Auf Basis der Zielerreichungen in den beiden gleichgewichteten Leistungskrite-
rien ergibt sich in der PSP-Tranche 2020 eine Gesamtzielerreichung von
112,12 Prozent (Vergütungssystems 2016) bzw. eine Gesamtzielerreichung
von 113,13 Prozent (Vergütungssystem 2020).</t>
      </text>
    </comment>
    <comment ref="D17" authorId="4" shapeId="0" xr:uid="{1FE9104F-698A-4001-9769-184C5A01C607}">
      <text>
        <r>
          <rPr>
            <sz val="9"/>
            <color rgb="FF000000"/>
            <rFont val="Segoe UI"/>
            <charset val="1"/>
          </rPr>
          <t>Berechnet nach S.8</t>
        </r>
      </text>
    </comment>
    <comment ref="I17" authorId="70" shapeId="0" xr:uid="{C24479A4-87BF-3042-99A6-EE313D3F95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ZE ESG: E: 122,7
S: 112,5
G: 125</t>
      </text>
    </comment>
    <comment ref="K17" authorId="71" shapeId="0" xr:uid="{2D3DEEEA-7461-EF40-A39C-53FE4869042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Maßnahmen zur absoluten CO2-Reduktion im Konzern
Realisierte Dekarbonisierungseffekte </t>
      </text>
    </comment>
    <comment ref="Y17" authorId="72" shapeId="0" xr:uid="{319D7588-9310-9245-A10D-6CEC9B5390A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 außergewöhnlichen Entwicklungen kann es mehr sein</t>
      </text>
    </comment>
    <comment ref="AA17" authorId="4" shapeId="0" xr:uid="{3145E0D8-A5B5-493D-BA8A-203348920AC5}">
      <text>
        <r>
          <rPr>
            <sz val="9"/>
            <color rgb="FF000000"/>
            <rFont val="Segoe UI"/>
            <family val="2"/>
            <charset val="1"/>
          </rPr>
          <t>mögliche Einbehaltung von 50% der STI</t>
        </r>
      </text>
    </comment>
    <comment ref="AC17" authorId="4" shapeId="0" xr:uid="{C1C5A9AA-B744-4868-BFCE-E63DDC8F18C3}">
      <text>
        <r>
          <rPr>
            <b/>
            <sz val="9"/>
            <color rgb="FF000000"/>
            <rFont val="Segoe UI"/>
            <family val="2"/>
            <charset val="1"/>
          </rPr>
          <t>Samuel Kruppa:</t>
        </r>
        <r>
          <rPr>
            <sz val="9"/>
            <color rgb="FF000000"/>
            <rFont val="Segoe UI"/>
            <family val="2"/>
            <charset val="1"/>
          </rPr>
          <t xml:space="preserve">
</t>
        </r>
        <r>
          <rPr>
            <sz val="9"/>
            <color rgb="FF000000"/>
            <rFont val="Segoe UI"/>
            <family val="2"/>
            <charset val="1"/>
          </rPr>
          <t xml:space="preserve">50 % der sich aus der Zielerreichung ergebenden Jahreserfolgsvergütung werden in der Mittelfristkomponente mit einer zweijährigen
</t>
        </r>
        <r>
          <rPr>
            <sz val="9"/>
            <color rgb="FF000000"/>
            <rFont val="Segoe UI"/>
            <family val="2"/>
            <charset val="1"/>
          </rPr>
          <t xml:space="preserve">Nachhaltigkeitsphase verknüpft. Mittelfristkomponente wird einbehalten, wenn das Nachhaltigkeitsziel EAC während
</t>
        </r>
        <r>
          <rPr>
            <sz val="9"/>
            <color rgb="FF000000"/>
            <rFont val="Segoe UI"/>
            <family val="2"/>
            <charset val="1"/>
          </rPr>
          <t>der Nachhaltigkeitsphase nicht erreicht wird.</t>
        </r>
      </text>
    </comment>
    <comment ref="AD17" authorId="4" shapeId="0" xr:uid="{4130A6A5-A9A3-4084-B468-75DAED81A990}">
      <text>
        <r>
          <rPr>
            <sz val="9"/>
            <color rgb="FF000000"/>
            <rFont val="Segoe UI"/>
            <charset val="1"/>
          </rPr>
          <t>Berechnet nach S.8</t>
        </r>
      </text>
    </comment>
    <comment ref="AI17" authorId="73" shapeId="0" xr:uid="{1FD09EDB-B586-6045-A315-A15307B3C2C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der Langfristkomponente, deren Sperrfrist im Berichtsjahr endete (SAR-Tranche 2020), wurde dagegen keines der sechs Teilziele
erreicht, da die absolute Performance der Deutsche-Post-Aktie zum Ende der Sperrfrist gegenüber dem Ausgangsjahr um
weniger als 10% gesteigert wurde und ihre relative Performance gegenüber dem STOXX Europe 600 negativ war. Die SAR-Tranche
2020 ist daher ersatz- und entschädigungslos verfallen, sodass hieraus zu keinem Zeitpunkt Zahlungen fließen werden.</t>
      </text>
    </comment>
    <comment ref="AY17" authorId="0" shapeId="0" xr:uid="{022B1B72-C7D8-49E8-AB7E-FD6A8463FC24}">
      <text>
        <r>
          <rPr>
            <sz val="9"/>
            <color rgb="FF000000"/>
            <rFont val="Tahoma"/>
            <family val="2"/>
          </rPr>
          <t>2.5 mal Grundgehalt für den Vorstandsvorsitzenden</t>
        </r>
      </text>
    </comment>
    <comment ref="D18" authorId="4" shapeId="0" xr:uid="{9ABDB7E1-356E-44D8-B4EB-7B399B60D17A}">
      <text>
        <r>
          <rPr>
            <sz val="9"/>
            <color rgb="FF000000"/>
            <rFont val="Segoe UI"/>
            <charset val="1"/>
          </rPr>
          <t xml:space="preserve">CEO, S. 19
</t>
        </r>
      </text>
    </comment>
    <comment ref="G18" authorId="74" shapeId="0" xr:uid="{165199FD-541C-6F4A-B7F6-B8BAF3E3386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6 Ziele, davon 1 ESG -&gt; 1/6</t>
      </text>
    </comment>
    <comment ref="H18" authorId="75" shapeId="0" xr:uid="{7720A549-0B5C-7E4A-AE91-9D21916BA1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war letztes Jahr mit gleicher Datenlage 0, da der CEO aber ein individuelles ESG zieht hat (die anderen beiden gelesen für alle) in meinen Augen 1</t>
      </text>
    </comment>
    <comment ref="I18" authorId="76" shapeId="0" xr:uid="{89434D21-8FFA-224F-B1EF-51BEE99DC3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CO2-Emissionen: ZE 125%
Energieverbrauch: ZE 136%
CEO</t>
      </text>
    </comment>
    <comment ref="K18" authorId="77" shapeId="0" xr:uid="{85E48B14-583F-C04F-8A96-E4448E28AA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CO2-Emissionen</t>
      </text>
    </comment>
    <comment ref="AD18" authorId="4" shapeId="0" xr:uid="{92C3973F-1EA2-473A-AE7C-09116B5B4E85}">
      <text>
        <r>
          <rPr>
            <sz val="9"/>
            <color rgb="FF000000"/>
            <rFont val="Segoe UI"/>
            <charset val="1"/>
          </rPr>
          <t xml:space="preserve">CEO, S. 19
</t>
        </r>
      </text>
    </comment>
    <comment ref="AG18" authorId="4" shapeId="0" xr:uid="{3B2D0014-E1C4-4C8F-B42A-A1038CD92091}">
      <text>
        <r>
          <rPr>
            <sz val="9"/>
            <color rgb="FF000000"/>
            <rFont val="Segoe UI"/>
            <charset val="1"/>
          </rPr>
          <t>2 von 4 Zielen sind ESG Ziele, gemittet, S.14. Eigene Rechnugnen bestätigen diese Vermutung</t>
        </r>
      </text>
    </comment>
    <comment ref="AI18" authorId="78" shapeId="0" xr:uid="{11A16C90-C22B-1944-B37A-0839B153F7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Tranche 21
Antwort:
     278 % festgestellt. Die Auszahlung des LTI, die im Geschäftsjahr 2025 erfolgt, wird bei 200 % des Auslobungsbetrags begrenzt. Nur ZE wäre 130%
Antwort:
    Kundenzufriedenheit ZE 2024: 150%, auf gesamte Tranche145%, Mitarbeiterzufriedneheit 2024 130%, gesamte Tranche 123%</t>
      </text>
    </comment>
    <comment ref="D19" authorId="79" shapeId="0" xr:uid="{44CA4891-77FD-644D-A102-33409E1D936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S.9</t>
      </text>
    </comment>
    <comment ref="E19" authorId="80" shapeId="0" xr:uid="{C01BA356-5886-0D4C-8AB9-6FFEBF86CC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Antwort:
    Ausrollen der neuen Positionierung („Playmaker / It’s on us to make new energy work”) auch innerhalb des Unternehmens
mit Fokus auf Leistungsorientierung und Veränderungskultur; Integration des Marken- und Strategiesystems in das neue
E.ON Kompetenzmodell und die E.ON Führungsprinzipien als Grundlage der konzernweiten Personalaktivitäten
Antwort:
    Könnte man sich übernehmen noch als ESG zu kennzeichnen</t>
      </text>
    </comment>
    <comment ref="F19" authorId="4" shapeId="0" xr:uid="{81EC06F8-EC4C-4F5D-A2DD-EB5314C6C129}">
      <text>
        <r>
          <rPr>
            <sz val="11"/>
            <color rgb="FF000000"/>
            <rFont val="Aptos Narrow"/>
            <family val="2"/>
          </rPr>
          <t>Indvidueller Performancefaktor (0.8-1.2) in dem ESG-Ziele vorkommen; Net Promoter Score welcher  20% von der Unternehmensperformance ausmacht</t>
        </r>
      </text>
    </comment>
    <comment ref="G19" authorId="4" shapeId="0" xr:uid="{42EB367D-6F52-46AC-964F-28A8E7D00F54}">
      <text>
        <r>
          <rPr>
            <sz val="11"/>
            <color rgb="FF000000"/>
            <rFont val="Aptos Narrow"/>
            <family val="2"/>
          </rPr>
          <t>1/4 Kategorien der individuellen Zielen ist ESG; NPS mit 20% Gewichtung</t>
        </r>
      </text>
    </comment>
    <comment ref="I19" authorId="81" shapeId="0" xr:uid="{92362D09-E5D1-5B49-A931-736B42C567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NPS ZE: 108</t>
      </text>
    </comment>
    <comment ref="K19" authorId="82" shapeId="0" xr:uid="{5EEA47A6-4B4B-5244-9EF6-248F075CDE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Übererfüllung der ESG-Ziele im Bereich Klima und Dekarbonisierung</t>
      </text>
    </comment>
    <comment ref="R19" authorId="4" shapeId="0" xr:uid="{DF294148-21AA-4B58-8733-14617671861E}">
      <text>
        <r>
          <rPr>
            <sz val="9"/>
            <color rgb="FF000000"/>
            <rFont val="Segoe UI"/>
            <family val="2"/>
            <charset val="1"/>
          </rPr>
          <t>ZE NPS 108%</t>
        </r>
      </text>
    </comment>
    <comment ref="S19" authorId="4" shapeId="0" xr:uid="{58457066-FF01-44A0-B600-C70369CCFA9F}">
      <text>
        <r>
          <rPr>
            <sz val="9"/>
            <color rgb="FF000000"/>
            <rFont val="Segoe UI"/>
            <family val="2"/>
            <charset val="1"/>
          </rPr>
          <t>NPS mit 20% Gewichtung</t>
        </r>
      </text>
    </comment>
    <comment ref="AI19" authorId="4" shapeId="0" xr:uid="{7DE038AB-C8C5-4C41-9543-990F2A659050}">
      <text>
        <r>
          <rPr>
            <sz val="9"/>
            <color rgb="FF000000"/>
            <rFont val="Segoe UI"/>
            <charset val="1"/>
          </rPr>
          <t>Tranche 21-24</t>
        </r>
      </text>
    </comment>
    <comment ref="AK19" authorId="4" shapeId="0" xr:uid="{0C18C163-FF7A-478A-8B81-324A51EE9F2F}">
      <text>
        <r>
          <rPr>
            <sz val="9"/>
            <color rgb="FF000000"/>
            <rFont val="Segoe UI"/>
            <family val="2"/>
            <charset val="1"/>
          </rPr>
          <t>Reduzierung der Kohlenstoff-Emissionen (Scope 1 und Scope 2)</t>
        </r>
      </text>
    </comment>
    <comment ref="AL19" authorId="4" shapeId="0" xr:uid="{2B2F28BA-DA78-4EC6-9CFE-DE4EBF239C11}">
      <text>
        <r>
          <rPr>
            <sz val="9"/>
            <color rgb="FF000000"/>
            <rFont val="Segoe UI"/>
            <charset val="1"/>
          </rPr>
          <t>1 von 4 ESG Zielen, die zsm 25% der LTI sind, gemittelt, S.16</t>
        </r>
      </text>
    </comment>
    <comment ref="AS19" authorId="4" shapeId="0" xr:uid="{FA8999A9-67A0-4829-A27C-1BF07D85EAA8}">
      <text>
        <r>
          <rPr>
            <sz val="9"/>
            <color rgb="FF000000"/>
            <rFont val="Segoe UI"/>
            <charset val="1"/>
          </rPr>
          <t>je 1 von 4 ESG Zielen, die zsm 25% der LTI sind, gemittelt, S.16</t>
        </r>
      </text>
    </comment>
    <comment ref="AX19" authorId="4" shapeId="0" xr:uid="{1DC1676D-72E1-48B7-B3D1-5B6245ACBC24}">
      <text>
        <r>
          <rPr>
            <sz val="9"/>
            <color rgb="FF000000"/>
            <rFont val="Segoe UI"/>
            <charset val="1"/>
          </rPr>
          <t>je 1 von 4 ESG Zielen, die zsm 25% der LTI sind, gemittelt, S.16</t>
        </r>
      </text>
    </comment>
    <comment ref="I20" authorId="83" shapeId="0" xr:uid="{FCE6B8D6-5A21-184E-947C-E7334EE9B4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Mitarbeiterzufriedenheit ZE: 76,52
Medizinische Qualität ZE: 129,27, sprich insgesamt ESG 102,9</t>
      </text>
    </comment>
    <comment ref="Q20" authorId="84" shapeId="0" xr:uid="{381AEBDC-ED22-7843-8DC5-145FFBF730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Employee Engagement Index (EEI)</t>
      </text>
    </comment>
    <comment ref="AI20" authorId="4" shapeId="0" xr:uid="{FBE290DA-72BE-4C47-B803-E78F6CEA9147}">
      <text>
        <r>
          <rPr>
            <sz val="9"/>
            <color rgb="FF000000"/>
            <rFont val="Segoe UI"/>
            <charset val="1"/>
          </rPr>
          <t xml:space="preserve">noch nicht veröffentlicht: </t>
        </r>
        <r>
          <rPr>
            <sz val="9"/>
            <color rgb="FF000000"/>
            <rFont val="Aptos Narrow"/>
            <scheme val="minor"/>
          </rPr>
          <t xml:space="preserve">endgültigen Werte der für das Geschäftsjahr 2021 ge-
</t>
        </r>
        <r>
          <rPr>
            <sz val="9"/>
            <color rgb="FF000000"/>
            <rFont val="Aptos Narrow"/>
            <scheme val="minor"/>
          </rPr>
          <t xml:space="preserve">währten langfristigen variablen Vergütung den final zuflie-
</t>
        </r>
        <r>
          <rPr>
            <sz val="9"/>
            <color rgb="FF000000"/>
            <rFont val="Aptos Narrow"/>
            <scheme val="minor"/>
          </rPr>
          <t xml:space="preserve">ßenden Betrag im Oktober 2025 abschließend festlegen.
</t>
        </r>
        <r>
          <rPr>
            <sz val="9"/>
            <color rgb="FF000000"/>
            <rFont val="Segoe UI"/>
            <charset val="1"/>
          </rPr>
          <t xml:space="preserve">
noch altes LTI System, ohne ESG,</t>
        </r>
      </text>
    </comment>
    <comment ref="I21" authorId="85" shapeId="0" xr:uid="{482A5C0D-A527-4A45-97E1-9AE55E53C7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Mitarbeiterzufriedenheit ZE: 100, Patientenzufriedenheit ZE: 120 -&gt; sprich insgesamt Nachhaltigkeitsziel ZE 100%
Antwort:
    CEO</t>
      </text>
    </comment>
    <comment ref="AI21" authorId="86" shapeId="0" xr:uid="{599BB976-92C0-5249-BD7A-11BFAC50C6F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Tranche 21, Ze 14% -&gt; Ausschüttung 10%</t>
      </text>
    </comment>
    <comment ref="AK21" authorId="87" shapeId="0" xr:uid="{F6555B8E-6BB5-BC4D-9AAF-07CAF8A60E8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 Nachhaltigkeitsziel wurde die Reduktion der marktbasierten CO2 Emissionen festgelegt.</t>
      </text>
    </comment>
    <comment ref="G22" authorId="88" shapeId="0" xr:uid="{BC1B8E64-DAE3-5D47-9B3A-8688E17D52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Zu / Abschlag, könnte man auch als KPI interpretieren. Letztes Jahr war es 25% (weiß nicht wie diese Zahl rausgekommen ist 2/4 Zielen ESG -&gt; 50%
Antwort:
    Vgl. S. 11</t>
      </text>
    </comment>
    <comment ref="I22" authorId="89" shapeId="0" xr:uid="{200CDB40-91CF-9644-B9C4-2F4BD7B5A23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Antwort:
    Hier jetzt mit Zuteilungs/Auszahlungsbetrag berechnet, da sonst keine Daten verfügbar waren (vgl. S. 14 -&gt; sonst auch keine angaben möglich </t>
      </text>
    </comment>
    <comment ref="J22" authorId="90" shapeId="0" xr:uid="{E5F3CF37-AB57-2B46-BF57-435C20342D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Habe das zweite Ziel alls allgemeines ESG Ziel eingeordnet, man könnte sich auch überlegen es hier einzubringen: Weiterentwicklung und Umsetzung der Nachhaltigkeitsstrategie zur Positionierung der Hannover Rück als nachhaltiger Konzern in den Dimensionen Versicherungstechnik, Kapitalanlagen und Reduktion der Emissionen.</t>
      </text>
    </comment>
    <comment ref="Z22" authorId="91" shapeId="0" xr:uid="{753A6C3D-6EF8-5440-B584-7169EDC52DE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Einordnung des zweiten Ziels  als allgemeines ESG Ziel korrekt?</t>
      </text>
    </comment>
    <comment ref="AI22" authorId="92" shapeId="0" xr:uid="{62044670-14F3-EE47-9D6E-7DD9027D51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Nach altem System (damals noch kein ESG, neues system Zuteilungswert 195,67
Antwort:
    Vgl S.14</t>
      </text>
    </comment>
    <comment ref="D23" authorId="93" shapeId="0" xr:uid="{1EAADF6D-8710-7445-834E-DBF8B90AAE0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S.300</t>
      </text>
    </comment>
    <comment ref="F23" authorId="94" shapeId="0" xr:uid="{2BA9D499-8720-5E46-B268-E16C5FCDD5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Der Jahresüberschuss wird mot der CO2 Komponente multipliziert, außerdem fließen Nachhaltigkeitziele als Teil des STI durch addition mit ein</t>
      </text>
    </comment>
    <comment ref="G23" authorId="95" shapeId="0" xr:uid="{54F30383-5F5B-854C-BF39-2C56F58161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C02 Komponente, Health und Safety (10%), Nachhaltige Umsätze (10%), 1 von 2 individuellen Zielend es CEOs (5%)</t>
      </text>
    </comment>
    <comment ref="I23" authorId="96" shapeId="0" xr:uid="{5024C6C0-E52A-2E43-AD4C-5DF2400317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CO2 Faktor: 1,06, Health &amp; Safety : 162%, Nachhaltige Umsätze, 194%</t>
      </text>
    </comment>
    <comment ref="K23" authorId="4" shapeId="0" xr:uid="{CAE6AF0E-0B9F-409E-A1C8-B9BC01EC2CD0}">
      <text>
        <r>
          <rPr>
            <sz val="9"/>
            <color rgb="FF000000"/>
            <rFont val="Aptos Narrow"/>
          </rPr>
          <t xml:space="preserve">CO2-
</t>
        </r>
        <r>
          <rPr>
            <sz val="9"/>
            <color rgb="FF000000"/>
            <rFont val="Aptos Narrow"/>
          </rPr>
          <t xml:space="preserve">Multiplikator
</t>
        </r>
      </text>
    </comment>
    <comment ref="AD23" authorId="97" shapeId="0" xr:uid="{B3C4B7B7-FA09-4049-B1E7-9429ACE20E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S. 300</t>
      </text>
    </comment>
    <comment ref="AI23" authorId="98" shapeId="0" xr:uid="{0BAE0013-AA47-2249-A685-440A6D3603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Tranche 22. Letztes jähr wurde sich nur auf die Management Komponente und nicht auf die Kapitalmarktkompenente (denke auch weil diese um 1 Jahr verzogen ist) bezogen. Diese macht aber nur 50% der LTI aus. Habe es jetzt auch so übernommen, kann bei bedarf gerne geändert werden (ZE Kapitalmarktkomponente 147,5%)</t>
      </text>
    </comment>
    <comment ref="AK23" authorId="99" shapeId="0" xr:uid="{1CC1CDB3-1007-684E-8F1B-829BADF4B6A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die Tranche 2024 des Langfristbonus hat der Auf-
sichtsrat Ziele zur Reduktion der spezifischen CO2-
Emissionen pro Tonne Zement über die dreijährige
Performance-Periode des Langfristbonus mit den
Vorstandsmitgliedern vereinbart. Die spezifischen
CO2-Emissionen pro Tonne Zement werden dabei
analog der in Abschnitt „CO2-Komponente“ be-
schriebenen internen Logik gemessen, die auch für
die Messung der Zielerreichung im Jahresbonus gilt.</t>
      </text>
    </comment>
    <comment ref="D24" authorId="4" shapeId="0" xr:uid="{BEA02AA8-51F5-4DCE-A814-07205BE53ABA}">
      <text>
        <r>
          <rPr>
            <sz val="9"/>
            <color rgb="FF000000"/>
            <rFont val="Segoe UI"/>
            <charset val="1"/>
          </rPr>
          <t>CEO, Zielvergütungen</t>
        </r>
      </text>
    </comment>
    <comment ref="F24" authorId="4" shapeId="0" xr:uid="{39BDAD0F-7E1C-44AC-8961-ED4CC2E398F0}">
      <text>
        <r>
          <rPr>
            <sz val="9"/>
            <color rgb="FF000000"/>
            <rFont val="Segoe UI"/>
            <charset val="1"/>
          </rPr>
          <t xml:space="preserve">Es gibt einen Multiplikator (0.8-1.2) in dem ESG-Ziele vorkommen </t>
        </r>
      </text>
    </comment>
    <comment ref="G24" authorId="4" shapeId="0" xr:uid="{0D87E572-143A-4EF2-8964-22FEF86BF694}">
      <text>
        <r>
          <rPr>
            <sz val="9"/>
            <color rgb="FF000000"/>
            <rFont val="Segoe UI"/>
            <family val="2"/>
            <charset val="1"/>
          </rPr>
          <t xml:space="preserve">gemittelt nach S.22-23
</t>
        </r>
        <r>
          <rPr>
            <sz val="9"/>
            <color rgb="FF000000"/>
            <rFont val="Segoe UI"/>
            <family val="2"/>
            <charset val="1"/>
          </rPr>
          <t xml:space="preserve">indv. Ziele: 
</t>
        </r>
        <r>
          <rPr>
            <sz val="9"/>
            <color rgb="FF000000"/>
            <rFont val="Segoe UI"/>
            <family val="2"/>
            <charset val="1"/>
          </rPr>
          <t xml:space="preserve">-Absolute und relative Performance des verantworteten
</t>
        </r>
        <r>
          <rPr>
            <sz val="9"/>
            <color rgb="FF000000"/>
            <rFont val="Segoe UI"/>
            <family val="2"/>
            <charset val="1"/>
          </rPr>
          <t xml:space="preserve">Unternehmensbereichs im Vergleich zum Markt/Wettbewerb
</t>
        </r>
        <r>
          <rPr>
            <sz val="9"/>
            <color rgb="FF000000"/>
            <rFont val="Segoe UI"/>
            <family val="2"/>
            <charset val="1"/>
          </rPr>
          <t xml:space="preserve">- Persönlicher Beitrag zur Umsetzung strategischer
</t>
        </r>
        <r>
          <rPr>
            <sz val="9"/>
            <color rgb="FF000000"/>
            <rFont val="Segoe UI"/>
            <family val="2"/>
            <charset val="1"/>
          </rPr>
          <t xml:space="preserve">Prioritäten
</t>
        </r>
        <r>
          <rPr>
            <sz val="9"/>
            <color rgb="FF000000"/>
            <rFont val="Segoe UI"/>
            <family val="2"/>
            <charset val="1"/>
          </rPr>
          <t xml:space="preserve">- Erfüllung individuell vereinbarter Sonderziele (Fokusthemen)
</t>
        </r>
        <r>
          <rPr>
            <sz val="9"/>
            <color rgb="FF000000"/>
            <rFont val="Segoe UI"/>
            <family val="2"/>
            <charset val="1"/>
          </rPr>
          <t xml:space="preserve">
</t>
        </r>
        <r>
          <rPr>
            <sz val="9"/>
            <color rgb="FF000000"/>
            <rFont val="Segoe UI"/>
            <family val="2"/>
            <charset val="1"/>
          </rPr>
          <t>in den Fokusthemen sind 2 von 5 Zielen ESG, .</t>
        </r>
      </text>
    </comment>
    <comment ref="I24" authorId="4" shapeId="0" xr:uid="{0F61FA2B-E72B-48D4-BE6D-06F87EA5F69C}">
      <text>
        <r>
          <rPr>
            <sz val="9"/>
            <color rgb="FF000000"/>
            <rFont val="Segoe UI"/>
            <charset val="1"/>
          </rPr>
          <t>CEO, Berechnung nach S. 23</t>
        </r>
      </text>
    </comment>
    <comment ref="R24" authorId="4" shapeId="0" xr:uid="{19802BD1-D907-4383-8864-9A8DD68DF211}">
      <text>
        <r>
          <rPr>
            <sz val="9"/>
            <color rgb="FF000000"/>
            <rFont val="Segoe UI"/>
            <charset val="1"/>
          </rPr>
          <t>CEO</t>
        </r>
      </text>
    </comment>
    <comment ref="S24" authorId="4" shapeId="0" xr:uid="{2A001562-86D7-4A6A-AFF8-8145D5E27934}">
      <text>
        <r>
          <rPr>
            <sz val="9"/>
            <color rgb="FF000000"/>
            <rFont val="Segoe UI"/>
            <family val="2"/>
            <charset val="1"/>
          </rPr>
          <t xml:space="preserve">indv. Ziele: 
</t>
        </r>
        <r>
          <rPr>
            <sz val="9"/>
            <color rgb="FF000000"/>
            <rFont val="Segoe UI"/>
            <family val="2"/>
            <charset val="1"/>
          </rPr>
          <t xml:space="preserve">-Absolute und relative Performance des verantworteten
</t>
        </r>
        <r>
          <rPr>
            <sz val="9"/>
            <color rgb="FF000000"/>
            <rFont val="Segoe UI"/>
            <family val="2"/>
            <charset val="1"/>
          </rPr>
          <t xml:space="preserve">Unternehmensbereichs im Vergleich zum Markt/Wettbewerb
</t>
        </r>
        <r>
          <rPr>
            <sz val="9"/>
            <color rgb="FF000000"/>
            <rFont val="Segoe UI"/>
            <family val="2"/>
            <charset val="1"/>
          </rPr>
          <t xml:space="preserve">- Persönlicher Beitrag zur Umsetzung strategischer
</t>
        </r>
        <r>
          <rPr>
            <sz val="9"/>
            <color rgb="FF000000"/>
            <rFont val="Segoe UI"/>
            <family val="2"/>
            <charset val="1"/>
          </rPr>
          <t xml:space="preserve">Prioritäten
</t>
        </r>
        <r>
          <rPr>
            <sz val="9"/>
            <color rgb="FF000000"/>
            <rFont val="Segoe UI"/>
            <family val="2"/>
            <charset val="1"/>
          </rPr>
          <t xml:space="preserve">- Erfüllung individuell vereinbarter Sonderziele (Fokusthemen)
</t>
        </r>
        <r>
          <rPr>
            <sz val="9"/>
            <color rgb="FF000000"/>
            <rFont val="Segoe UI"/>
            <family val="2"/>
            <charset val="1"/>
          </rPr>
          <t xml:space="preserve">
</t>
        </r>
        <r>
          <rPr>
            <sz val="9"/>
            <color rgb="FF000000"/>
            <rFont val="Segoe UI"/>
            <family val="2"/>
            <charset val="1"/>
          </rPr>
          <t>in den Fokusthemen sind 2 von 5 Zielen ESG,</t>
        </r>
      </text>
    </comment>
    <comment ref="AD24" authorId="4" shapeId="0" xr:uid="{1BA30F9C-84A0-4C57-BDBA-425FB897F742}">
      <text>
        <r>
          <rPr>
            <sz val="9"/>
            <color rgb="FF000000"/>
            <rFont val="Segoe UI"/>
            <charset val="1"/>
          </rPr>
          <t xml:space="preserve">CEO, berechnet nach Zielvergütungen
</t>
        </r>
      </text>
    </comment>
    <comment ref="AI24" authorId="100" shapeId="0" xr:uid="{1FF84E46-2F55-9E42-B249-935BD065DF4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Tranche 22, für 24 ZE CO2 Emissionen 150%, ZE recycel-
tem Kunststoff 150%, ZE Gender Parity Ambition 2025 120%</t>
      </text>
    </comment>
    <comment ref="AK24" authorId="4" shapeId="0" xr:uid="{9A8B5035-1165-43CD-8EDF-C05451043B2E}">
      <text>
        <r>
          <rPr>
            <sz val="9"/>
            <color rgb="FF000000"/>
            <rFont val="Aptos Narrow"/>
          </rPr>
          <t xml:space="preserve">das quantitative Ziel einer weiteren
</t>
        </r>
        <r>
          <rPr>
            <sz val="9"/>
            <color rgb="FF000000"/>
            <rFont val="Aptos Narrow"/>
          </rPr>
          <t xml:space="preserve">Reduzierung unserer CO2-Emissionen
</t>
        </r>
      </text>
    </comment>
    <comment ref="D25" authorId="4" shapeId="0" xr:uid="{6E960FC5-1CC1-49D1-99A2-7BE517C93919}">
      <text>
        <r>
          <rPr>
            <sz val="9"/>
            <color rgb="FF000000"/>
            <rFont val="Segoe UI"/>
            <family val="2"/>
            <charset val="1"/>
          </rPr>
          <t>CEO</t>
        </r>
      </text>
    </comment>
    <comment ref="AB25" authorId="4" shapeId="0" xr:uid="{2240D435-E303-497B-9FE5-519C9D3010F1}">
      <text>
        <r>
          <rPr>
            <sz val="9"/>
            <color rgb="FF000000"/>
            <rFont val="Segoe UI"/>
            <charset val="1"/>
          </rPr>
          <t>seit 2020 abgeschafft und mit SIT kompensiert</t>
        </r>
      </text>
    </comment>
    <comment ref="AI25" authorId="4" shapeId="0" xr:uid="{3E975A4A-CD58-4115-B0A3-4B578F2F29C4}">
      <text>
        <r>
          <rPr>
            <b/>
            <sz val="9"/>
            <color rgb="FF000000"/>
            <rFont val="Segoe UI"/>
            <charset val="1"/>
          </rPr>
          <t>:</t>
        </r>
        <r>
          <rPr>
            <sz val="9"/>
            <color rgb="FF000000"/>
            <rFont val="Segoe UI"/>
            <charset val="1"/>
          </rPr>
          <t xml:space="preserve">
</t>
        </r>
        <r>
          <rPr>
            <sz val="9"/>
            <color rgb="FF000000"/>
            <rFont val="Segoe UI"/>
            <charset val="1"/>
          </rPr>
          <t xml:space="preserve">Tranche 2020
</t>
        </r>
        <r>
          <rPr>
            <sz val="9"/>
            <color rgb="FF000000"/>
            <rFont val="Segoe UI"/>
            <charset val="1"/>
          </rPr>
          <t xml:space="preserve">zur Hälfte verfallen
</t>
        </r>
        <r>
          <rPr>
            <sz val="9"/>
            <color rgb="FF000000"/>
            <rFont val="Segoe UI"/>
            <charset val="1"/>
          </rPr>
          <t>Aber ohne Aktienkursentwicklung vom letzten JAhr übernommen</t>
        </r>
      </text>
    </comment>
    <comment ref="AK25" authorId="4" shapeId="0" xr:uid="{21AD19B4-265C-493D-A8BF-06C5B10AEB3A}">
      <text>
        <r>
          <rPr>
            <sz val="10"/>
            <color rgb="FF000000"/>
            <rFont val="Aptos Narrow"/>
          </rPr>
          <t xml:space="preserve"> Geschäftsjahr 2027 80 Prozent CO2-Neutralität
</t>
        </r>
      </text>
    </comment>
    <comment ref="F26" authorId="4" shapeId="0" xr:uid="{D45A9F42-7403-4F7F-9C50-3DC828122990}">
      <text>
        <r>
          <rPr>
            <sz val="9"/>
            <color rgb="FF000000"/>
            <rFont val="Segoe UI"/>
            <charset val="1"/>
          </rPr>
          <t xml:space="preserve">nichtfianzielle Leistungskriterien (-10% bis +10%); 
</t>
        </r>
        <r>
          <rPr>
            <sz val="9"/>
            <color rgb="FF000000"/>
            <rFont val="Segoe UI"/>
            <charset val="1"/>
          </rPr>
          <t>Transformationsziele (-25% bis 25%), die jeweils aus ESG Zielen bestehen und die Finanziellen Leistungskriterien, vergrößern bzw. verkleinern können</t>
        </r>
      </text>
    </comment>
    <comment ref="G26" authorId="4" shapeId="0" xr:uid="{8745CC0C-76C6-4D4A-AA2B-460C293C54E8}">
      <text>
        <r>
          <rPr>
            <b/>
            <sz val="9"/>
            <color rgb="FF000000"/>
            <rFont val="Segoe UI"/>
            <charset val="1"/>
          </rPr>
          <t>Samuel Kruppa:</t>
        </r>
        <r>
          <rPr>
            <sz val="9"/>
            <color rgb="FF000000"/>
            <rFont val="Segoe UI"/>
            <charset val="1"/>
          </rPr>
          <t xml:space="preserve">
</t>
        </r>
        <r>
          <rPr>
            <sz val="9"/>
            <color rgb="FF000000"/>
            <rFont val="Segoe UI"/>
            <charset val="1"/>
          </rPr>
          <t>gemittelt, nichtfianzielle Leistungskriterien 3 von 4 Zielen ESG; Transformationsziele alle ESG</t>
        </r>
      </text>
    </comment>
    <comment ref="I26" authorId="101" shapeId="0" xr:uid="{F8A8E1BA-028A-8A4F-BB74-B1AC89A29B7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Transformationsziele insgesamt + 10 ZE
Integrität +2,
Kundenzufriedenheit +2,
Mitarbeiterbindung +2</t>
      </text>
    </comment>
    <comment ref="K26" authorId="4" shapeId="0" xr:uid="{1CDF4D24-D310-44F8-B448-14322BAB70F1}">
      <text>
        <r>
          <rPr>
            <sz val="9"/>
            <color rgb="FF000000"/>
            <rFont val="Aptos Narrow"/>
            <scheme val="minor"/>
          </rPr>
          <t xml:space="preserve">Für die Volumenmärkte Europa, China und USA wurden
</t>
        </r>
        <r>
          <rPr>
            <sz val="9"/>
            <color rgb="FF000000"/>
            <rFont val="Aptos Narrow"/>
            <scheme val="minor"/>
          </rPr>
          <t xml:space="preserve">die CO2-Flottenemissionen auf Basis interner Daten
</t>
        </r>
        <r>
          <rPr>
            <sz val="9"/>
            <color rgb="FF000000"/>
            <rFont val="Aptos Narrow"/>
            <scheme val="minor"/>
          </rPr>
          <t xml:space="preserve">berechnet und gegen interne sowie gesetzliche
</t>
        </r>
        <r>
          <rPr>
            <sz val="9"/>
            <color rgb="FF000000"/>
            <rFont val="Aptos Narrow"/>
            <scheme val="minor"/>
          </rPr>
          <t xml:space="preserve">Zielvorgaben abgeglichen. Die internen Zielsetzungen
</t>
        </r>
        <r>
          <rPr>
            <sz val="9"/>
            <color rgb="FF000000"/>
            <rFont val="Aptos Narrow"/>
            <scheme val="minor"/>
          </rPr>
          <t xml:space="preserve">basierten auf dem geplanten Absatz sowie Produktmix
</t>
        </r>
        <r>
          <rPr>
            <sz val="9"/>
            <color rgb="FF000000"/>
            <rFont val="Aptos Narrow"/>
            <scheme val="minor"/>
          </rPr>
          <t xml:space="preserve">für das Berichtsjahr 2024. Aufgrund veränderter
</t>
        </r>
        <r>
          <rPr>
            <sz val="9"/>
            <color rgb="FF000000"/>
            <rFont val="Aptos Narrow"/>
            <scheme val="minor"/>
          </rPr>
          <t xml:space="preserve">Marktbedingungen und entsprechender Auswirkungen
</t>
        </r>
        <r>
          <rPr>
            <sz val="9"/>
            <color rgb="FF000000"/>
            <rFont val="Aptos Narrow"/>
            <scheme val="minor"/>
          </rPr>
          <t xml:space="preserve">auf den Absatz wurden die intern gesetzten Ziele in
</t>
        </r>
        <r>
          <rPr>
            <sz val="9"/>
            <color rgb="FF000000"/>
            <rFont val="Aptos Narrow"/>
            <scheme val="minor"/>
          </rPr>
          <t xml:space="preserve">allen drei Regionen nicht erreicht.
</t>
        </r>
      </text>
    </comment>
    <comment ref="L26" authorId="4" shapeId="0" xr:uid="{C62049CF-66E4-40F7-976F-B10102698BC5}">
      <text>
        <r>
          <rPr>
            <sz val="9"/>
            <color rgb="FF000000"/>
            <rFont val="Segoe UI"/>
            <charset val="1"/>
          </rPr>
          <t>Insgesamt können aus den drei Zielen CO2-Emissionen, Sicherheitsinnovationen und Stakeholderbeziehungen bis zu 25% auf den Zielerreichungsgrad auf- oder abgeschlagen werden.</t>
        </r>
      </text>
    </comment>
    <comment ref="P26" authorId="4" shapeId="0" xr:uid="{BD60A299-0A35-456D-B69F-59D0D9DC0CFE}">
      <text>
        <r>
          <rPr>
            <sz val="9"/>
            <color rgb="FF000000"/>
            <rFont val="Segoe UI"/>
            <charset val="1"/>
          </rPr>
          <t xml:space="preserve">Mitarbeiterbindung, </t>
        </r>
      </text>
    </comment>
    <comment ref="Q26" authorId="4" shapeId="0" xr:uid="{9C4E8191-9E86-4486-9424-C460A47ECC25}">
      <text>
        <r>
          <rPr>
            <sz val="9"/>
            <color rgb="FF000000"/>
            <rFont val="Segoe UI"/>
            <charset val="1"/>
          </rPr>
          <t>je Ziel können bis zu 2,5% auf den Zielerreichungsgrad auf- oder abgeschlagen werden</t>
        </r>
      </text>
    </comment>
    <comment ref="S26" authorId="4" shapeId="0" xr:uid="{4995FD03-7381-48E0-8AA7-29CDA8A2564B}">
      <text>
        <r>
          <rPr>
            <sz val="9"/>
            <color rgb="FF000000"/>
            <rFont val="Segoe UI"/>
            <charset val="1"/>
          </rPr>
          <t xml:space="preserve">je Ziel können bis zu 2,5% auf den Zielerreichungsgrad auf- oder abgeschlagen werden;
</t>
        </r>
        <r>
          <rPr>
            <sz val="9"/>
            <color rgb="FF000000"/>
            <rFont val="Segoe UI"/>
            <charset val="1"/>
          </rPr>
          <t xml:space="preserve">
</t>
        </r>
        <r>
          <rPr>
            <sz val="9"/>
            <color rgb="FF000000"/>
            <rFont val="Segoe UI"/>
            <charset val="1"/>
          </rPr>
          <t>Insgesamt können aus den drei Zielen CO2-Emissionen, Sicherheitsinnovationen und Stakeholderbeziehungen bis zu 25% auf den Zielerreichungsgrad auf- oder abgeschlagen werden.</t>
        </r>
      </text>
    </comment>
    <comment ref="X26" authorId="4" shapeId="0" xr:uid="{4A07AE55-0037-42ED-A738-E602D895351C}">
      <text>
        <r>
          <rPr>
            <sz val="9"/>
            <color rgb="FF000000"/>
            <rFont val="Segoe UI"/>
            <charset val="1"/>
          </rPr>
          <t xml:space="preserve">Integretät: je Ziel können bis zu 2,5% auf den Zielerreichungsgrad auf- oder abgeschlagen werden.
</t>
        </r>
      </text>
    </comment>
    <comment ref="AI26" authorId="4" shapeId="0" xr:uid="{AF2DA55E-E18F-4709-8CDA-65977BF78691}">
      <text>
        <r>
          <rPr>
            <sz val="9"/>
            <color rgb="FF000000"/>
            <rFont val="Segoe UI"/>
            <charset val="1"/>
          </rPr>
          <t>Tranche 2020</t>
        </r>
      </text>
    </comment>
    <comment ref="AN26" authorId="102" shapeId="0" xr:uid="{2D165189-CEC2-5347-8111-EDD4C0BA14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3 Ziele, und insgesamt 20% ESG -&gt; 20/3</t>
      </text>
    </comment>
    <comment ref="D27" authorId="4" shapeId="0" xr:uid="{23C9913E-DFB0-4524-9862-265802611FD2}">
      <text>
        <r>
          <rPr>
            <sz val="9"/>
            <color rgb="FF000000"/>
            <rFont val="Segoe UI"/>
            <charset val="1"/>
          </rPr>
          <t>CEO, (Gewinnbeteiligung)</t>
        </r>
      </text>
    </comment>
    <comment ref="F27" authorId="4" shapeId="0" xr:uid="{88196E19-4B33-4835-A1C3-6C4A5019891B}">
      <text>
        <r>
          <rPr>
            <sz val="9"/>
            <color rgb="FF000000"/>
            <rFont val="Segoe UI"/>
            <charset val="1"/>
          </rPr>
          <t xml:space="preserve">Individueller
</t>
        </r>
        <r>
          <rPr>
            <sz val="9"/>
            <color rgb="FF000000"/>
            <rFont val="Segoe UI"/>
            <charset val="1"/>
          </rPr>
          <t>Faktor für Leistung und Nachhaltigkeit (0,8 bis 1,2)</t>
        </r>
      </text>
    </comment>
    <comment ref="G27" authorId="103" shapeId="0" xr:uid="{623F6238-9478-9C4A-B255-C595D56066E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Eines von 2 großen Themenkriterien</t>
      </text>
    </comment>
    <comment ref="I27" authorId="104" shapeId="0" xr:uid="{E1DC51DB-C091-0247-B06A-1CE758F2C65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ist es schwierig eine Zielerreichung festzusetzen, da das Management prozentual am gewinn beteiligt ist. Die Gewinnbeteiligung wird aber nochmals mit einem Faktor multipliziert</t>
      </text>
    </comment>
    <comment ref="K27" authorId="105" shapeId="0" xr:uid="{BAF79122-9A99-1146-8C5E-53745EDFC91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Bereich Nachhaltigkeit wurden Treibhausgasemissionen erfolgreich reduziert</t>
      </text>
    </comment>
    <comment ref="Y27" authorId="106" shapeId="0" xr:uid="{77702B4A-2F5F-B54B-AF37-E80704A4F78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absoluter Betrag</t>
      </text>
    </comment>
    <comment ref="AD27" authorId="4" shapeId="0" xr:uid="{61A1C559-C5F0-4B06-963D-DDFF632F9345}">
      <text>
        <r>
          <rPr>
            <sz val="9"/>
            <color rgb="FF000000"/>
            <rFont val="Segoe UI"/>
            <charset val="1"/>
          </rPr>
          <t>CEO</t>
        </r>
      </text>
    </comment>
    <comment ref="AF27" authorId="4" shapeId="0" xr:uid="{1F8094EF-E19B-437C-96C6-E9CDB1D34A3A}">
      <text>
        <r>
          <rPr>
            <sz val="9"/>
            <color rgb="FF000000"/>
            <rFont val="Segoe UI"/>
            <charset val="1"/>
          </rPr>
          <t>Nachhaltigkeitsfaktor (0.8 - 1.2)</t>
        </r>
      </text>
    </comment>
    <comment ref="AI27" authorId="4" shapeId="0" xr:uid="{E8E21179-4CBF-415A-BFD6-55C33D4C43D3}">
      <text>
        <r>
          <rPr>
            <sz val="9"/>
            <color rgb="FF000000"/>
            <rFont val="Segoe UI"/>
            <charset val="1"/>
          </rPr>
          <t>LTIP 2021</t>
        </r>
      </text>
    </comment>
    <comment ref="AK27" authorId="4" shapeId="0" xr:uid="{B429656B-7401-4406-A4C5-FB9886A19B7D}">
      <text>
        <r>
          <rPr>
            <sz val="9"/>
            <color rgb="FF000000"/>
            <rFont val="Segoe UI"/>
            <charset val="1"/>
          </rPr>
          <t xml:space="preserve">Unseren ökologischen Fußabdruck
</t>
        </r>
        <r>
          <rPr>
            <sz val="9"/>
            <color rgb="FF000000"/>
            <rFont val="Segoe UI"/>
            <charset val="1"/>
          </rPr>
          <t>reduzieren: Treibhausgasemissionen Scope 1+2</t>
        </r>
      </text>
    </comment>
    <comment ref="AL27" authorId="4" shapeId="0" xr:uid="{AE6673E4-92D6-444C-9A69-3AA004678FFE}">
      <text>
        <r>
          <rPr>
            <b/>
            <sz val="9"/>
            <color rgb="FF000000"/>
            <rFont val="Segoe UI"/>
            <charset val="1"/>
          </rPr>
          <t xml:space="preserve"> :</t>
        </r>
        <r>
          <rPr>
            <sz val="9"/>
            <color rgb="FF000000"/>
            <rFont val="Segoe UI"/>
            <charset val="1"/>
          </rPr>
          <t xml:space="preserve">
</t>
        </r>
        <r>
          <rPr>
            <sz val="9"/>
            <color rgb="FF000000"/>
            <rFont val="Segoe UI"/>
            <charset val="1"/>
          </rPr>
          <t>40% des Nachhaltigkeitsfaktor</t>
        </r>
      </text>
    </comment>
    <comment ref="AN27" authorId="4" shapeId="0" xr:uid="{1B27BCEB-4F40-466A-B016-72A391485260}">
      <text>
        <r>
          <rPr>
            <sz val="9"/>
            <color rgb="FF000000"/>
            <rFont val="Segoe UI"/>
            <charset val="1"/>
          </rPr>
          <t>30% des Nachhaltigkeitsfaktor</t>
        </r>
      </text>
    </comment>
    <comment ref="AS27" authorId="4" shapeId="0" xr:uid="{630E2AA7-780D-4285-AE14-931F52D8CDC0}">
      <text>
        <r>
          <rPr>
            <sz val="9"/>
            <color rgb="FF000000"/>
            <rFont val="Segoe UI"/>
            <charset val="1"/>
          </rPr>
          <t>30% des Nachhaltigkeitsfaktor</t>
        </r>
      </text>
    </comment>
    <comment ref="D28" authorId="107" shapeId="0" xr:uid="{2493A2D0-993D-9345-9145-11B5A4308B4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gemittelt nach S.4</t>
      </text>
    </comment>
    <comment ref="E28" authorId="108" shapeId="0" xr:uid="{D11100CC-D346-834C-8FF3-9CEA648888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Flying Fuel cell program ESG? Hier aberl nicht gewertet
Antwort:
    Letztes Jahr wurden die Nachhaltigkeitsziele genau beschreiben (S. 188). Dieses Jahr keine genaue Beschreibung und nur beiläufig erwähnt, deshalb nur als allgemeines eng ziel gewertet: Um die individuelle Leistung der Geschäftsleitungsmitglieder angemessen zu berücksichtigen, kann der Personalausschuss die Auszahlung über einen Faktor mit einer Spannbreite von 0,8 bis 1,2 anpassen. Der Anpassungsfaktor ermöglicht es, eine hervorragende individuelle Leistung sowie die Übererfüllung bestimmter Nachhaltigkeitsziele durch Multiplikation der Gewinnbeteiligung mit einem Wert oberhalb von 1,0 bis 1,2 zu honorieren.</t>
      </text>
    </comment>
    <comment ref="I28" authorId="109" shapeId="0" xr:uid="{74135153-AB03-4A4F-9D50-608FD9AD4DF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C02 Einsparung: 152,5
Bildungstage je Mitarbeiter 163,33
Sprich insgesamt ESG Ziele 157,92</t>
      </text>
    </comment>
    <comment ref="K28" authorId="4" shapeId="0" xr:uid="{92BF956A-6520-4386-89B6-389C158DB6A5}">
      <text>
        <r>
          <rPr>
            <sz val="9"/>
            <color rgb="FF000000"/>
            <rFont val="Segoe UI"/>
            <charset val="1"/>
          </rPr>
          <t>CO2 Einsparungen durch nachhaltige Maßnahmen</t>
        </r>
      </text>
    </comment>
    <comment ref="AD28" authorId="110" shapeId="0" xr:uid="{C610CA1F-63E1-8D46-98CD-DA09FC241A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Gemittelt nach S.4</t>
      </text>
    </comment>
    <comment ref="AI28" authorId="111" shapeId="0" xr:uid="{6C523027-7141-324C-B2A5-BDB4DAFC0EB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Es wurde eine neue Tranche begonnen, zu der ZE wurde dieses Jahr noch nichts erwähnt</t>
      </text>
    </comment>
    <comment ref="AK28" authorId="112" shapeId="0" xr:uid="{43FF9F5F-B57C-404E-93A3-25094E9E7A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C=2 Restemissionen</t>
      </text>
    </comment>
    <comment ref="F29" authorId="4" shapeId="0" xr:uid="{30F62418-E980-4C2D-ABBB-1C0B883152C9}">
      <text>
        <r>
          <rPr>
            <sz val="9"/>
            <color rgb="FF000000"/>
            <rFont val="Segoe UI"/>
            <charset val="1"/>
          </rPr>
          <t>ESG_faktor (0,9 - 1,1): Bis zu 10 %-Punkte Zu-/Abschlag auf Basis ESG-Kriterien</t>
        </r>
      </text>
    </comment>
    <comment ref="K29" authorId="4" shapeId="0" xr:uid="{E4899E27-09B2-4B54-9C18-BB7165F6810F}">
      <text>
        <r>
          <rPr>
            <sz val="9"/>
            <color rgb="FF000000"/>
            <rFont val="Segoe UI"/>
            <charset val="1"/>
          </rPr>
          <t>Reduktion des CO2 Fussabdrucks</t>
        </r>
      </text>
    </comment>
    <comment ref="U29" authorId="4" shapeId="0" xr:uid="{6395D8A8-7E52-4C01-8406-BECC011BA7C8}">
      <text>
        <r>
          <rPr>
            <b/>
            <sz val="9"/>
            <color rgb="FF000000"/>
            <rFont val="Segoe UI"/>
            <charset val="1"/>
          </rPr>
          <t>Samuel Kruppa:</t>
        </r>
        <r>
          <rPr>
            <sz val="9"/>
            <color rgb="FF000000"/>
            <rFont val="Segoe UI"/>
            <charset val="1"/>
          </rPr>
          <t xml:space="preserve">
</t>
        </r>
        <r>
          <rPr>
            <sz val="9"/>
            <color rgb="FF000000"/>
            <rFont val="Segoe UI"/>
            <charset val="1"/>
          </rPr>
          <t>Einhalten von Richtlinien/ Compliance-Anforderungen</t>
        </r>
      </text>
    </comment>
    <comment ref="AF29" authorId="4" shapeId="0" xr:uid="{9B19ED70-C9F2-42AB-9329-C2626F497BCE}">
      <text>
        <r>
          <rPr>
            <sz val="9"/>
            <color rgb="FF000000"/>
            <rFont val="Segoe UI"/>
            <charset val="1"/>
          </rPr>
          <t>selber ESG-Multiplier wie bei STI; KPI</t>
        </r>
      </text>
    </comment>
    <comment ref="AI29" authorId="4" shapeId="0" xr:uid="{7BE7222F-4F09-416F-8A74-1DB3E4742252}">
      <text>
        <r>
          <rPr>
            <sz val="9"/>
            <color rgb="FF000000"/>
            <rFont val="Segoe UI"/>
            <charset val="1"/>
          </rPr>
          <t>LTI 21-24</t>
        </r>
      </text>
    </comment>
    <comment ref="AK29" authorId="4" shapeId="0" xr:uid="{B5A3EB77-B442-594D-BF62-4E11B19886B3}">
      <text>
        <r>
          <rPr>
            <sz val="9"/>
            <color rgb="FF000000"/>
            <rFont val="Segoe UI"/>
            <charset val="1"/>
          </rPr>
          <t>Reduktion des CO2 Fussabdrucks;</t>
        </r>
        <r>
          <rPr>
            <sz val="9"/>
            <color rgb="FF000000"/>
            <rFont val="Aptos Narrow"/>
          </rPr>
          <t xml:space="preserve">Definition einer Klimaambition für 2030 im Einklang mit dem Netto-Null-Ziel
</t>
        </r>
        <r>
          <rPr>
            <sz val="9"/>
            <color rgb="FF000000"/>
            <rFont val="Aptos Narrow"/>
          </rPr>
          <t xml:space="preserve">für 2050 und Erfüllung der Selbstverpflichtungen
</t>
        </r>
      </text>
    </comment>
    <comment ref="AU29" authorId="4" shapeId="0" xr:uid="{0B41111D-B1D6-BE4D-A843-21CC018384D5}">
      <text>
        <r>
          <rPr>
            <b/>
            <sz val="9"/>
            <color rgb="FF000000"/>
            <rFont val="Segoe UI"/>
            <charset val="1"/>
          </rPr>
          <t>Samuel Kruppa:</t>
        </r>
        <r>
          <rPr>
            <sz val="9"/>
            <color rgb="FF000000"/>
            <rFont val="Segoe UI"/>
            <charset val="1"/>
          </rPr>
          <t xml:space="preserve">
</t>
        </r>
        <r>
          <rPr>
            <sz val="9"/>
            <color rgb="FF000000"/>
            <rFont val="Segoe UI"/>
            <charset val="1"/>
          </rPr>
          <t>Einhalten von Richtlinien/ Compliance-Anforderungen</t>
        </r>
      </text>
    </comment>
    <comment ref="D30" authorId="4" shapeId="0" xr:uid="{E7572684-5C3F-45A8-AC01-96AB9E3E1F5A}">
      <text>
        <r>
          <rPr>
            <sz val="9"/>
            <color rgb="FF000000"/>
            <rFont val="Segoe UI"/>
            <charset val="1"/>
          </rPr>
          <t xml:space="preserve">CEO, berechnet nach S.9, (am letzten Jahr orientiert)
</t>
        </r>
        <r>
          <rPr>
            <sz val="9"/>
            <color rgb="FF000000"/>
            <rFont val="Segoe UI"/>
            <charset val="1"/>
          </rPr>
          <t>IPO bonus ausgeschlossen (wie letztes Jahr)</t>
        </r>
      </text>
    </comment>
    <comment ref="E30" authorId="113" shapeId="0" xr:uid="{17270485-F0B1-1940-BEDD-CA2E307E3B1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Governance Faktoren, Dekarbonisierung, Geschlechterquote , Customer excitement index, Mitarbeiterzufriedenheit, Governance Faktor</t>
      </text>
    </comment>
    <comment ref="F30" authorId="4" shapeId="0" xr:uid="{B4903BC5-DB17-45C8-9031-C355C96F88D1}">
      <text>
        <r>
          <rPr>
            <sz val="9"/>
            <color rgb="FF000000"/>
            <rFont val="Segoe UI"/>
            <charset val="1"/>
          </rPr>
          <t xml:space="preserve">ES-Faktor (0.7-1.3) und G-Faktor (0.9-1.1), insgesamt (0.63-1.43),
</t>
        </r>
        <r>
          <rPr>
            <sz val="9"/>
            <color rgb="FF000000"/>
            <rFont val="Segoe UI"/>
            <charset val="1"/>
          </rPr>
          <t>also insgesamt zwei Faktoren</t>
        </r>
      </text>
    </comment>
    <comment ref="I30" authorId="4" shapeId="0" xr:uid="{53BE0A11-6467-417B-9EBB-33C8C08374AE}">
      <text>
        <r>
          <rPr>
            <sz val="9"/>
            <color rgb="FF000000"/>
            <rFont val="Segoe UI"/>
            <charset val="1"/>
          </rPr>
          <t xml:space="preserve">s.13-14 Multiplikation der 
</t>
        </r>
        <r>
          <rPr>
            <sz val="9"/>
            <color rgb="FF000000"/>
            <rFont val="Segoe UI"/>
            <charset val="1"/>
          </rPr>
          <t xml:space="preserve">ESG komplett: 1,16
</t>
        </r>
        <r>
          <rPr>
            <sz val="9"/>
            <color rgb="FF000000"/>
            <rFont val="Segoe UI"/>
            <charset val="1"/>
          </rPr>
          <t xml:space="preserve">Faktoren
</t>
        </r>
        <r>
          <rPr>
            <sz val="9"/>
            <color rgb="FF000000"/>
            <rFont val="Segoe UI"/>
            <charset val="1"/>
          </rPr>
          <t xml:space="preserve">Dekarboniesierung:1,3
</t>
        </r>
        <r>
          <rPr>
            <sz val="9"/>
            <color rgb="FF000000"/>
            <rFont val="Segoe UI"/>
            <charset val="1"/>
          </rPr>
          <t xml:space="preserve">Geschleter1: 1,3
</t>
        </r>
        <r>
          <rPr>
            <sz val="9"/>
            <color rgb="FF000000"/>
            <rFont val="Segoe UI"/>
            <charset val="1"/>
          </rPr>
          <t xml:space="preserve">Geschlechterquote2: 1,25
</t>
        </r>
        <r>
          <rPr>
            <sz val="9"/>
            <color rgb="FF000000"/>
            <rFont val="Segoe UI"/>
            <charset val="1"/>
          </rPr>
          <t xml:space="preserve">Customer excitement: 0,93
</t>
        </r>
        <r>
          <rPr>
            <sz val="9"/>
            <color rgb="FF000000"/>
            <rFont val="Segoe UI"/>
            <charset val="1"/>
          </rPr>
          <t xml:space="preserve">Mitarbeiterzufriedenheit: 1,02
</t>
        </r>
        <r>
          <rPr>
            <sz val="9"/>
            <color rgb="FF000000"/>
            <rFont val="Segoe UI"/>
            <charset val="1"/>
          </rPr>
          <t xml:space="preserve">Governance: 1,0
</t>
        </r>
        <r>
          <rPr>
            <sz val="9"/>
            <color rgb="FF000000"/>
            <rFont val="Segoe UI"/>
            <charset val="1"/>
          </rPr>
          <t xml:space="preserve">
</t>
        </r>
        <r>
          <rPr>
            <sz val="9"/>
            <color rgb="FF000000"/>
            <rFont val="Segoe UI"/>
            <charset val="1"/>
          </rPr>
          <t xml:space="preserve">
</t>
        </r>
      </text>
    </comment>
    <comment ref="L30" authorId="4" shapeId="0" xr:uid="{316C76FA-CFB4-4BCC-8080-8F7F17CCC35F}">
      <text>
        <r>
          <rPr>
            <sz val="9"/>
            <color rgb="FF000000"/>
            <rFont val="Segoe UI"/>
            <charset val="1"/>
          </rPr>
          <t>40% des ES-Faktors</t>
        </r>
      </text>
    </comment>
    <comment ref="Q30" authorId="114" shapeId="0" xr:uid="{1D148C81-D9ED-C14C-891A-0AE6204E212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S Ziele machen 60% vom ES Faktor aus</t>
      </text>
    </comment>
    <comment ref="U30" authorId="4" shapeId="0" xr:uid="{A55C047D-9C88-4F2A-A98D-A6E7C3D06EF4}">
      <text>
        <r>
          <rPr>
            <sz val="9"/>
            <color rgb="FF000000"/>
            <rFont val="Segoe UI"/>
            <charset val="1"/>
          </rPr>
          <t xml:space="preserve">G-Faktor-Kriterien: Integrität und Compliance, </t>
        </r>
      </text>
    </comment>
    <comment ref="V30" authorId="4" shapeId="0" xr:uid="{F7669D6B-A86D-431D-B10A-C30B3B52AA22}">
      <text>
        <r>
          <rPr>
            <sz val="9"/>
            <color rgb="FF000000"/>
            <rFont val="Segoe UI"/>
            <charset val="1"/>
          </rPr>
          <t>100% des G-Faktors</t>
        </r>
      </text>
    </comment>
    <comment ref="AA30" authorId="115" shapeId="0" xr:uid="{DBD03A40-481A-4141-A642-AE79627802C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IPO bonus möglich, aber nur einmalig und eh keinen ESG Anteil. Im letzten Report bei LTI berücksichtigt halte das aber nicht für korrekt</t>
      </text>
    </comment>
    <comment ref="AD30" authorId="4" shapeId="0" xr:uid="{48379AE6-3E26-4DB3-A673-5A7F5049BDA7}">
      <text>
        <r>
          <rPr>
            <sz val="9"/>
            <color rgb="FF000000"/>
            <rFont val="Segoe UI"/>
            <charset val="1"/>
          </rPr>
          <t xml:space="preserve">CEO, berechnet nach S.9
</t>
        </r>
        <r>
          <rPr>
            <sz val="9"/>
            <color rgb="FF000000"/>
            <rFont val="Segoe UI"/>
            <charset val="1"/>
          </rPr>
          <t xml:space="preserve">LTI eigentlich 0, aber IPO bonus mitgerechten (habe mich an die Vorgehensweise vom letzten Jahr gehalten)
</t>
        </r>
        <r>
          <rPr>
            <sz val="9"/>
            <color rgb="FF000000"/>
            <rFont val="Segoe UI"/>
            <charset val="1"/>
          </rPr>
          <t>finde das ein wenig schief, da LTI für den CEO 0 ist, aber trotzdem ZE angegeben wird</t>
        </r>
      </text>
    </comment>
    <comment ref="AI30" authorId="116" shapeId="0" xr:uid="{C7B3335F-8995-4045-82AF-46A7401773F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Letzten 3 Jahre EPS Schnitt, nur 24 wären es 72,5</t>
      </text>
    </comment>
    <comment ref="A31" authorId="117" shapeId="0" xr:uid="{AAD3B866-6BF2-5F41-8833-AFEFBA352B9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Bezieht sich auf das Jahr 2023, weil der 23 STI 2024 ausgezahlt wird und der 24 STI nicht besprochen wird</t>
      </text>
    </comment>
    <comment ref="D31" authorId="4" shapeId="0" xr:uid="{E6529CB2-2E3C-464F-A0C4-32D5D1D56226}">
      <text>
        <r>
          <rPr>
            <sz val="9"/>
            <color rgb="FF000000"/>
            <rFont val="Segoe UI"/>
            <charset val="1"/>
          </rPr>
          <t>CEO hat 2024 keine LTI-Auszahlung bekommen. Deswegen erdiente Vergütung des CEO, S.22</t>
        </r>
      </text>
    </comment>
    <comment ref="I31" authorId="118" shapeId="0" xr:uid="{1837EA91-525A-0741-9004-CC328014CCB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Antwort:
    Mitarbeiterentwicklung ZE 125, Nachfolgeplanung ZE 150</t>
      </text>
    </comment>
    <comment ref="R31" authorId="119" shapeId="0" xr:uid="{6C1F4E26-1204-4542-BE22-2BC665CBB1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Man kann sich streiten ob Mitarbeiterentwicklung S ist, halte es aber schon für S</t>
      </text>
    </comment>
    <comment ref="AD31" authorId="4" shapeId="0" xr:uid="{6DC74178-F045-4B4D-BB22-4C0AACCC7A7C}">
      <text>
        <r>
          <rPr>
            <sz val="9"/>
            <color rgb="FF000000"/>
            <rFont val="Segoe UI"/>
            <charset val="1"/>
          </rPr>
          <t>CEO hat 2023 keine LTI-Auszahlung bekommen Deswegen erdiente Vergütung des CEO,</t>
        </r>
      </text>
    </comment>
    <comment ref="AI31" authorId="4" shapeId="0" xr:uid="{FA8C1FDD-4A97-442D-BD82-A9957A9C0EDF}">
      <text>
        <r>
          <rPr>
            <sz val="9"/>
            <color rgb="FF000000"/>
            <rFont val="Segoe UI"/>
            <charset val="1"/>
          </rPr>
          <t xml:space="preserve">CEO für 2021,
ZE aus 2023 gleich wie bei STI
 </t>
        </r>
      </text>
    </comment>
    <comment ref="D32" authorId="4" shapeId="0" xr:uid="{98F2440F-3E65-434D-A56E-BCB89952BFC8}">
      <text>
        <r>
          <rPr>
            <sz val="9"/>
            <color rgb="FF000000"/>
            <rFont val="Segoe UI"/>
            <charset val="1"/>
          </rPr>
          <t>CEO, wirkliche Asuzahlung für 2024, berechnet nach S.77</t>
        </r>
      </text>
    </comment>
    <comment ref="G32" authorId="4" shapeId="0" xr:uid="{AC251FA0-13FF-4D9F-A508-6C13C950584C}">
      <text>
        <r>
          <rPr>
            <b/>
            <sz val="9"/>
            <color rgb="FF000000"/>
            <rFont val="Segoe UI"/>
            <charset val="1"/>
          </rPr>
          <t>Samuel Kruppa:</t>
        </r>
        <r>
          <rPr>
            <sz val="9"/>
            <color rgb="FF000000"/>
            <rFont val="Segoe UI"/>
            <charset val="1"/>
          </rPr>
          <t xml:space="preserve">
</t>
        </r>
        <r>
          <rPr>
            <sz val="9"/>
            <color rgb="FF000000"/>
            <rFont val="Segoe UI"/>
            <charset val="1"/>
          </rPr>
          <t>20% der mit 25% Gewichteten Team Goals</t>
        </r>
      </text>
    </comment>
    <comment ref="M32" authorId="4" shapeId="0" xr:uid="{21F236C0-B8EF-41D3-8E40-58604DA7ECB0}">
      <text>
        <r>
          <rPr>
            <b/>
            <sz val="9"/>
            <color indexed="81"/>
            <rFont val="Segoe UI"/>
          </rPr>
          <t>Samuel Kruppa:</t>
        </r>
        <r>
          <rPr>
            <sz val="9"/>
            <color indexed="81"/>
            <rFont val="Segoe UI"/>
          </rPr>
          <t xml:space="preserve">
7% reduction in plastic material to 2022 baseline</t>
        </r>
      </text>
    </comment>
    <comment ref="N32" authorId="4" shapeId="0" xr:uid="{4FCDEABB-AA2C-4510-9C3A-0DA216C23224}">
      <text>
        <r>
          <rPr>
            <b/>
            <sz val="9"/>
            <color indexed="81"/>
            <rFont val="Segoe UI"/>
          </rPr>
          <t>Samuel Kruppa:</t>
        </r>
        <r>
          <rPr>
            <sz val="9"/>
            <color indexed="81"/>
            <rFont val="Segoe UI"/>
          </rPr>
          <t xml:space="preserve">
gemittelt nach S. 10</t>
        </r>
      </text>
    </comment>
    <comment ref="S32" authorId="4" shapeId="0" xr:uid="{5C965A3C-C88E-4535-B990-3D7489573212}">
      <text>
        <r>
          <rPr>
            <b/>
            <sz val="9"/>
            <color indexed="81"/>
            <rFont val="Segoe UI"/>
          </rPr>
          <t>Samuel Kruppa:</t>
        </r>
        <r>
          <rPr>
            <sz val="9"/>
            <color indexed="81"/>
            <rFont val="Segoe UI"/>
          </rPr>
          <t xml:space="preserve">
je gemittelt nach S. 10, 1,67=20*0,25/3</t>
        </r>
      </text>
    </comment>
    <comment ref="X32" authorId="4" shapeId="0" xr:uid="{7793A170-A3E4-4644-AE2F-008CCD10D5D3}">
      <text>
        <r>
          <rPr>
            <b/>
            <sz val="9"/>
            <color rgb="FF000000"/>
            <rFont val="Segoe UI"/>
            <charset val="1"/>
          </rPr>
          <t>Samuel Kruppa:</t>
        </r>
        <r>
          <rPr>
            <sz val="9"/>
            <color rgb="FF000000"/>
            <rFont val="Segoe UI"/>
            <charset val="1"/>
          </rPr>
          <t xml:space="preserve">
</t>
        </r>
        <r>
          <rPr>
            <sz val="9"/>
            <color rgb="FF000000"/>
            <rFont val="Segoe UI"/>
            <charset val="1"/>
          </rPr>
          <t>gemittelt nach S. 10</t>
        </r>
      </text>
    </comment>
    <comment ref="AD32" authorId="4" shapeId="0" xr:uid="{BE0972D7-DFD1-451E-8D0F-D17A8E8EF1D8}">
      <text>
        <r>
          <rPr>
            <b/>
            <sz val="9"/>
            <color indexed="81"/>
            <rFont val="Segoe UI"/>
          </rPr>
          <t>Samuel Kruppa:</t>
        </r>
        <r>
          <rPr>
            <sz val="9"/>
            <color indexed="81"/>
            <rFont val="Segoe UI"/>
          </rPr>
          <t xml:space="preserve">
CEO, wirkliche Asuzahlung für 2023, berechnet nach S.8</t>
        </r>
      </text>
    </comment>
    <comment ref="D33" authorId="4" shapeId="0" xr:uid="{F18C0DDC-94E7-4417-97C1-48ADF2264418}">
      <text>
        <r>
          <rPr>
            <sz val="9"/>
            <color rgb="FF000000"/>
            <rFont val="Segoe UI"/>
            <charset val="1"/>
          </rPr>
          <t xml:space="preserve">CEO
</t>
        </r>
      </text>
    </comment>
    <comment ref="I33" authorId="120" shapeId="0" xr:uid="{7DF8C74D-2473-224C-A56F-E59BC7FA4C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CO2 250% ZE Compliance 187,5
Antwort:
    ESG gesamt 218,75</t>
      </text>
    </comment>
    <comment ref="K33" authorId="4" shapeId="0" xr:uid="{69DB3DCC-4D13-4547-8D6C-8A1C8CFCDF1C}">
      <text>
        <r>
          <rPr>
            <sz val="9"/>
            <color rgb="FF000000"/>
            <rFont val="Aptos Narrow"/>
          </rPr>
          <t xml:space="preserve">Innovation/Technologieprojekt zur CO2-
</t>
        </r>
        <r>
          <rPr>
            <sz val="9"/>
            <color rgb="FF000000"/>
            <rFont val="Aptos Narrow"/>
          </rPr>
          <t xml:space="preserve">Vermeidung/Reduzierung: Elektroden
</t>
        </r>
        <r>
          <rPr>
            <sz val="9"/>
            <color rgb="FF000000"/>
            <rFont val="Aptos Narrow"/>
          </rPr>
          <t xml:space="preserve">zur Herstellung von grünem Wasserstoff
</t>
        </r>
      </text>
    </comment>
    <comment ref="U33" authorId="4" shapeId="0" xr:uid="{EBC151DC-A252-47BF-835C-AF974D963A35}">
      <text>
        <r>
          <rPr>
            <sz val="9"/>
            <color rgb="FF000000"/>
            <rFont val="Aptos Narrow"/>
            <scheme val="minor"/>
          </rPr>
          <t xml:space="preserve">Compliance/IKS: Health Check Compli-
</t>
        </r>
        <r>
          <rPr>
            <sz val="9"/>
            <color rgb="FF000000"/>
            <rFont val="Aptos Narrow"/>
            <scheme val="minor"/>
          </rPr>
          <t xml:space="preserve">ance Management System
</t>
        </r>
      </text>
    </comment>
    <comment ref="AD33" authorId="4" shapeId="0" xr:uid="{C998B7C5-8D48-48AE-A851-0266F7F7720E}">
      <text>
        <r>
          <rPr>
            <sz val="9"/>
            <color rgb="FF000000"/>
            <rFont val="Segoe UI"/>
            <charset val="1"/>
          </rPr>
          <t>CEO</t>
        </r>
      </text>
    </comment>
    <comment ref="AI33" authorId="121" shapeId="0" xr:uid="{22930840-BD47-9443-B0E8-60DFD1975E5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Geschäftsjahr 2024 endete keine der zuvor zugeteilten LTI-Tranchen, daher gab es im Jahr 2024 keine Auszahlung einer LTI-Tranche</t>
      </text>
    </comment>
    <comment ref="AK33" authorId="4" shapeId="0" xr:uid="{E028E390-DD36-46E2-BDD2-1A4FFE79D489}">
      <text>
        <r>
          <rPr>
            <sz val="9"/>
            <color rgb="FF000000"/>
            <rFont val="Segoe UI"/>
            <charset val="1"/>
          </rPr>
          <t>Reduktion der CO2-Emissionen /Beitraf zur CO2 neutralität</t>
        </r>
      </text>
    </comment>
    <comment ref="AL33" authorId="122" shapeId="0" xr:uid="{844AB76B-A30F-384E-90A3-D76BFBD1A6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 S. 180</t>
      </text>
    </comment>
    <comment ref="AS33" authorId="4" shapeId="0" xr:uid="{20AF4DB9-60BF-4DB6-8353-95A41744DE92}">
      <text>
        <r>
          <rPr>
            <sz val="9"/>
            <color rgb="FF000000"/>
            <rFont val="Segoe UI"/>
            <charset val="1"/>
          </rPr>
          <t>gemittelt, S.180</t>
        </r>
      </text>
    </comment>
    <comment ref="F34" authorId="4" shapeId="0" xr:uid="{9FC4CFBA-18B3-4ED1-A894-455ABCA4FE55}">
      <text>
        <r>
          <rPr>
            <sz val="9"/>
            <color rgb="FF000000"/>
            <rFont val="Segoe UI"/>
            <family val="2"/>
            <charset val="1"/>
          </rPr>
          <t>individueller Leistungsmultiplikator (0,8 - 1,2)</t>
        </r>
      </text>
    </comment>
    <comment ref="G34" authorId="123" shapeId="0" xr:uid="{1CD0F463-25F8-1948-B0F5-4E851AEF89B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Berechnung nach Anzahl der ESG Ziel in einem Oberziel sowie die Gewichtung des Oberziels im Faktor</t>
      </text>
    </comment>
    <comment ref="I34" authorId="124" shapeId="0" xr:uid="{1D6DB3C9-3874-0C4E-8879-C94959BE9A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Gebiet der CSR/ESG und Mitarbeitermotivation ein Zielerreichungsgrad von 109 %</t>
      </text>
    </comment>
    <comment ref="P34" authorId="4" shapeId="0" xr:uid="{AA307A3A-8E1B-4A0F-9925-EF017CE97B35}">
      <text>
        <r>
          <rPr>
            <sz val="9"/>
            <color rgb="FF000000"/>
            <rFont val="Segoe UI"/>
            <family val="2"/>
            <charset val="1"/>
          </rPr>
          <t>Erhalt der hohen Mitarbeitermotivation</t>
        </r>
      </text>
    </comment>
    <comment ref="V34" authorId="4" shapeId="0" xr:uid="{9A81610B-481D-4799-8659-81A849AA807A}">
      <text>
        <r>
          <rPr>
            <sz val="9"/>
            <color rgb="FF000000"/>
            <rFont val="Segoe UI"/>
            <family val="2"/>
            <charset val="1"/>
          </rPr>
          <t xml:space="preserve">
</t>
        </r>
        <r>
          <rPr>
            <sz val="9"/>
            <color rgb="FF000000"/>
            <rFont val="Segoe UI"/>
            <family val="2"/>
            <charset val="1"/>
          </rPr>
          <t>Konzernweite Einhaltung der Compliance-Standards und des Verhaltenskodexes</t>
        </r>
      </text>
    </comment>
    <comment ref="AI34" authorId="4" shapeId="0" xr:uid="{A9E5D06E-9189-4D77-B5CC-858C803016D7}">
      <text>
        <r>
          <rPr>
            <sz val="9"/>
            <color rgb="FF000000"/>
            <rFont val="Segoe UI"/>
            <family val="2"/>
            <charset val="1"/>
          </rPr>
          <t>Tranche 2022
CO2 ZE 22: 93</t>
        </r>
      </text>
    </comment>
    <comment ref="AK34" authorId="4" shapeId="0" xr:uid="{5B6734D3-2750-48FF-BF46-A6594E0E6534}">
      <text>
        <r>
          <rPr>
            <sz val="9"/>
            <color rgb="FF000000"/>
            <rFont val="Segoe UI"/>
            <family val="2"/>
            <charset val="1"/>
          </rPr>
          <t xml:space="preserve">
</t>
        </r>
        <r>
          <rPr>
            <sz val="9"/>
            <color rgb="FF000000"/>
            <rFont val="Segoe UI"/>
            <family val="2"/>
            <charset val="1"/>
          </rPr>
          <t xml:space="preserve">CO2-Intensität </t>
        </r>
      </text>
    </comment>
    <comment ref="I35" authorId="125" shapeId="0" xr:uid="{EFE576CF-A8F0-C04F-8C86-84B6814B73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KNPS: 1,050
Mitarbeiterengagement: 0,75</t>
      </text>
    </comment>
    <comment ref="P35" authorId="4" shapeId="0" xr:uid="{3D095585-8583-435F-B89B-BABE4B3A10EB}">
      <text>
        <r>
          <rPr>
            <sz val="9"/>
            <color rgb="FF000000"/>
            <rFont val="Segoe UI"/>
            <family val="2"/>
            <charset val="1"/>
          </rPr>
          <t xml:space="preserve">Mitarbeiter-engagement-Index(EEI), </t>
        </r>
      </text>
    </comment>
    <comment ref="Y35" authorId="126" shapeId="0" xr:uid="{62E1AC7C-170A-614C-936A-F8A9BB7352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Performance-Faktor maximal 1,4, 200% deferral cap</t>
      </text>
    </comment>
    <comment ref="AI35" authorId="127" shapeId="0" xr:uid="{91F5F3DB-F069-D347-B580-376816D540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Tasche 24</t>
      </text>
    </comment>
    <comment ref="AK35" authorId="128" shapeId="0" xr:uid="{5F6A9A12-2497-D84F-9EE0-EBD5F2AE52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Netto Null bis 2030</t>
      </text>
    </comment>
    <comment ref="D36" authorId="129" shapeId="0" xr:uid="{11384D52-38DD-FF4B-BE02-10232746D09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 237 CEO</t>
      </text>
    </comment>
    <comment ref="H36" authorId="130" shapeId="0" xr:uid="{4D305A29-3408-CE43-97C1-558DF35630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Wird für den CEO unterschiedlich gescort, aber die KPIs sind gleich</t>
      </text>
    </comment>
    <comment ref="I36" authorId="4" shapeId="0" xr:uid="{D243CD67-3E10-4DEA-BEA7-C95BD7E2B530}">
      <text>
        <r>
          <rPr>
            <sz val="9"/>
            <color rgb="FF000000"/>
            <rFont val="Segoe UI"/>
            <charset val="1"/>
          </rPr>
          <t>CEO, , S.232
NPS Zielerreichung 0%</t>
        </r>
      </text>
    </comment>
    <comment ref="P36" authorId="131" shapeId="0" xr:uid="{7BC431CF-683D-E141-A46B-6C13A5A80E8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Employee Net Promoter Score (ENPS)</t>
      </text>
    </comment>
    <comment ref="AI36" authorId="132" shapeId="0" xr:uid="{A77625F2-772F-E547-9393-8852CD4525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das Geschäftsjahr 2024 war keine
Tranche fällig, da die Umstellung auf den Vierjahreszeitraum mit Beginn des Jahres 2022 erfolgte (Vorjahr: Konzernjahresüberschuss
2021 -2023)</t>
      </text>
    </comment>
    <comment ref="AK36" authorId="4" shapeId="0" xr:uid="{CD5CE2D2-1DC0-48F2-90DC-8716291B9760}">
      <text>
        <r>
          <rPr>
            <sz val="9"/>
            <color rgb="FF000000"/>
            <rFont val="Segoe UI"/>
            <charset val="1"/>
          </rPr>
          <t>Reduktion der CO2-äquivalenten Emissionsintensität</t>
        </r>
      </text>
    </comment>
    <comment ref="AZ36" authorId="133" shapeId="0" xr:uid="{EB3A5856-2C16-9349-A9C4-1C6A3EC2A5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 die dpa für die Phantom Stock verwendet, reine Aktienvergütung hat gar kein Limit</t>
      </text>
    </comment>
    <comment ref="D37" authorId="134" shapeId="0" xr:uid="{7AC76EB7-7B33-C94E-B7CE-B2FFB91E644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t>
      </text>
    </comment>
    <comment ref="G37" authorId="4" shapeId="0" xr:uid="{83C93D30-72EA-4ABA-A4E8-5C49FABB4E78}">
      <text>
        <r>
          <rPr>
            <sz val="11"/>
            <color rgb="FF000000"/>
            <rFont val="Aptos Narrow"/>
            <family val="2"/>
          </rPr>
          <t>1 von 4 individuellen Überpunkten ist ESG, indv. Ziele sind zusammen 33,33% der STI</t>
        </r>
      </text>
    </comment>
    <comment ref="I37" authorId="4" shapeId="0" xr:uid="{D5B4A74D-DBBF-4300-8F34-3DE473011448}">
      <text>
        <r>
          <rPr>
            <sz val="9"/>
            <color rgb="FF000000"/>
            <rFont val="Segoe UI"/>
            <charset val="1"/>
          </rPr>
          <t xml:space="preserve"> CEO S. 20
Nachhaltigkeit +Umsetzung der untenehmenstrategie ZE 115%</t>
        </r>
      </text>
    </comment>
    <comment ref="M37" authorId="4" shapeId="0" xr:uid="{ED0C8BE2-965C-4B5F-B2FB-D8CE80298255}">
      <text>
        <r>
          <rPr>
            <sz val="11"/>
            <color rgb="FF000000"/>
            <rFont val="Aptos Narrow"/>
            <family val="2"/>
          </rPr>
          <t>Umsetztung der Unternehmensstrategie + Nachhaltigkeit ZE 115%</t>
        </r>
      </text>
    </comment>
    <comment ref="N37" authorId="4" shapeId="0" xr:uid="{162DEFA2-10EB-47F8-A413-84C8A044C189}">
      <text>
        <r>
          <rPr>
            <sz val="11"/>
            <color rgb="FF000000"/>
            <rFont val="Aptos Narrow"/>
            <family val="2"/>
          </rPr>
          <t xml:space="preserve">
</t>
        </r>
        <r>
          <rPr>
            <sz val="11"/>
            <color rgb="FF000000"/>
            <rFont val="Aptos Narrow"/>
            <family val="2"/>
          </rPr>
          <t xml:space="preserve">1 von 4 individuellen Überzielen, sind ESG. Indv. Ziele sind zusammen 33,33% der STI. </t>
        </r>
      </text>
    </comment>
    <comment ref="AD37" authorId="135" shapeId="0" xr:uid="{7C8C2569-3D1F-1941-AB45-4CD972B7FFC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t>
      </text>
    </comment>
    <comment ref="AE37" authorId="136" shapeId="0" xr:uid="{E395E47C-23FB-C34D-813D-BDEDB08EC3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23 noch drei, deshalb 3 ZE für 2023: CO2: 200%, NPS: 100, Lernstunden pro Mitarbeiter 18%. Gesamt für die 20 Tranche ESG ZE: 106</t>
      </text>
    </comment>
    <comment ref="AI37" authorId="137" shapeId="0" xr:uid="{C1DCC959-F90E-0D42-9ADE-1456D139EAC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Tranche 2020 S.27 ZE TSR und ESG mit jeweiliger Gewichtung addiert
Tranche 2020 CO2 ZE pro Jahr:0, 200, 200, 200 
Lernstunde pro Mitarbeiter 0, 0, 20, 18
NPS 0, 160, 60, 100
Gesamtzielerreichung Nachhaltigkeitsindex 106%</t>
      </text>
    </comment>
    <comment ref="AK37" authorId="4" shapeId="0" xr:uid="{1B92AF7B-14CC-4045-AA96-540DAB219319}">
      <text>
        <r>
          <rPr>
            <sz val="9"/>
            <color rgb="FF000000"/>
            <rFont val="Segoe UI"/>
            <charset val="1"/>
          </rPr>
          <t xml:space="preserve">
</t>
        </r>
        <r>
          <rPr>
            <sz val="9"/>
            <color rgb="FF000000"/>
            <rFont val="Segoe UI"/>
            <charset val="1"/>
          </rPr>
          <t>Reduktion CO2-Emissionen</t>
        </r>
      </text>
    </comment>
    <comment ref="AL37" authorId="4" shapeId="0" xr:uid="{C3F773C9-3E9E-4150-9852-B2364E17A19B}">
      <text>
        <r>
          <rPr>
            <sz val="9"/>
            <color rgb="FF000000"/>
            <rFont val="Segoe UI"/>
            <charset val="1"/>
          </rPr>
          <t xml:space="preserve">
</t>
        </r>
        <r>
          <rPr>
            <sz val="9"/>
            <color rgb="FF000000"/>
            <rFont val="Segoe UI"/>
            <charset val="1"/>
          </rPr>
          <t xml:space="preserve">gemittelt, S.23
</t>
        </r>
      </text>
    </comment>
    <comment ref="AS37" authorId="4" shapeId="0" xr:uid="{CE5B91B2-C687-4D1C-885C-E850A9B29C35}">
      <text>
        <r>
          <rPr>
            <sz val="9"/>
            <color rgb="FF000000"/>
            <rFont val="Segoe UI"/>
            <charset val="1"/>
          </rPr>
          <t xml:space="preserve">
</t>
        </r>
        <r>
          <rPr>
            <sz val="9"/>
            <color rgb="FF000000"/>
            <rFont val="Segoe UI"/>
            <charset val="1"/>
          </rPr>
          <t>gemittelt nach S.23</t>
        </r>
      </text>
    </comment>
    <comment ref="D38" authorId="138" shapeId="0" xr:uid="{AF41DBC3-40AB-3C46-9691-0FD3657C77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Wegen Bürgschaft alle variablen Vergütungen Ziel = 0
Antwort:
    Habe trotzdem die individuellen  ESG Ziele vom letzten Jahr behalten (dieses Jahr sind aufgrund des Bundesbonus keine aufgelistet, es ist aber das gleiche System). Alternativ könnte man sie auch auf 0 setzten da eigentlich keine neuen ESG KPIs formuliert wurden, da es ja auch keinen STI gab</t>
      </text>
    </comment>
    <comment ref="R38" authorId="4" shapeId="0" xr:uid="{824B8909-AF61-584C-B60B-61A7159F3740}">
      <text>
        <r>
          <rPr>
            <sz val="9"/>
            <color rgb="FF000000"/>
            <rFont val="Segoe UI"/>
            <charset val="1"/>
          </rPr>
          <t>ZA 130%; ZA 80%, ZA 140%</t>
        </r>
      </text>
    </comment>
    <comment ref="S38" authorId="4" shapeId="0" xr:uid="{E8D186D3-551C-9D45-8ECA-0B854B1E444E}">
      <text>
        <r>
          <rPr>
            <sz val="9"/>
            <color rgb="FF000000"/>
            <rFont val="Segoe UI"/>
            <charset val="1"/>
          </rPr>
          <t>3/4 indviduellen Ziele sind ESG, insgesamt haben sie 33,33%, S.193, CEO</t>
        </r>
      </text>
    </comment>
    <comment ref="AK38" authorId="4" shapeId="0" xr:uid="{9B7A7F10-C8C4-4ED8-AAC5-DE7CD8FC76BA}">
      <text>
        <r>
          <rPr>
            <sz val="9"/>
            <color rgb="FF000000"/>
            <rFont val="Segoe UI"/>
            <charset val="1"/>
          </rPr>
          <t>Reduktion der CO2-Emissionen in Scope 1 und 2</t>
        </r>
      </text>
    </comment>
    <comment ref="AP38" authorId="4" shapeId="0" xr:uid="{1F8F1EAB-EF23-44FC-A234-532AE3BFE438}">
      <text>
        <r>
          <rPr>
            <sz val="9"/>
            <color rgb="FF000000"/>
            <rFont val="Segoe UI"/>
            <charset val="1"/>
          </rPr>
          <t>Engagement score</t>
        </r>
      </text>
    </comment>
    <comment ref="D39" authorId="4" shapeId="0" xr:uid="{C808F499-1F70-43A8-B699-31304D459B8C}">
      <text>
        <r>
          <rPr>
            <sz val="9"/>
            <color rgb="FF000000"/>
            <rFont val="Segoe UI"/>
            <charset val="1"/>
          </rPr>
          <t xml:space="preserve">CEO, S. 10, </t>
        </r>
      </text>
    </comment>
    <comment ref="G39" authorId="4" shapeId="0" xr:uid="{4674D469-7C62-44BB-AA67-12673D55C826}">
      <text>
        <r>
          <rPr>
            <sz val="9"/>
            <color rgb="FF000000"/>
            <rFont val="Segoe UI"/>
            <charset val="1"/>
          </rPr>
          <t>1 von 3 ind. Ziele, die mit insgesamt 33,33% gewichtet sind</t>
        </r>
      </text>
    </comment>
    <comment ref="I39" authorId="4" shapeId="0" xr:uid="{3B1949A5-A3C3-44CE-AD1E-2C96B6B7F08B}">
      <text>
        <r>
          <rPr>
            <sz val="9"/>
            <color rgb="FF000000"/>
            <rFont val="Segoe UI"/>
            <charset val="1"/>
          </rPr>
          <t xml:space="preserve">CEO, S.16 </t>
        </r>
      </text>
    </comment>
    <comment ref="Y39" authorId="139" shapeId="0" xr:uid="{3C8C29F9-6443-804D-95CC-0FB50F4B64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Performance-Korridor KPI = gesamter Performance-Korridor</t>
      </text>
    </comment>
    <comment ref="AD39" authorId="4" shapeId="0" xr:uid="{A81F19F0-CEDB-4460-B784-F3AAFB1C3CC2}">
      <text>
        <r>
          <rPr>
            <sz val="9"/>
            <color rgb="FF000000"/>
            <rFont val="Segoe UI"/>
            <charset val="1"/>
          </rPr>
          <t>CEO, S. 10, ausgezahlt</t>
        </r>
      </text>
    </comment>
    <comment ref="AI39" authorId="4" shapeId="0" xr:uid="{EAEE2430-910B-4CF5-B5BE-9044F8FCC70C}">
      <text>
        <r>
          <rPr>
            <sz val="9"/>
            <color rgb="FF000000"/>
            <rFont val="Segoe UI"/>
            <charset val="1"/>
          </rPr>
          <t>Tranche 2020</t>
        </r>
      </text>
    </comment>
    <comment ref="AK39" authorId="4" shapeId="0" xr:uid="{BF5E6E61-046C-4060-B538-2D9F0814A62E}">
      <text>
        <r>
          <rPr>
            <sz val="9"/>
            <color rgb="FF000000"/>
            <rFont val="Segoe UI"/>
            <charset val="1"/>
          </rPr>
          <t xml:space="preserve">
</t>
        </r>
        <r>
          <rPr>
            <sz val="9"/>
            <color rgb="FF000000"/>
            <rFont val="Segoe UI"/>
            <charset val="1"/>
          </rPr>
          <t>Reduktion CO2 Emissionen</t>
        </r>
      </text>
    </comment>
    <comment ref="AL39" authorId="4" shapeId="0" xr:uid="{AD728B4A-D51A-435B-BA23-22B8A370AF16}">
      <text>
        <r>
          <rPr>
            <sz val="9"/>
            <color rgb="FF000000"/>
            <rFont val="Segoe UI"/>
            <charset val="1"/>
          </rPr>
          <t>gemittelt, S.18</t>
        </r>
      </text>
    </comment>
    <comment ref="AS39" authorId="4" shapeId="0" xr:uid="{EDCE3ED3-9483-42DD-81CA-5C976F8A4307}">
      <text>
        <r>
          <rPr>
            <sz val="9"/>
            <color rgb="FF000000"/>
            <rFont val="Segoe UI"/>
            <charset val="1"/>
          </rPr>
          <t>gemittelt, S.18, 25/3</t>
        </r>
      </text>
    </comment>
    <comment ref="I40" authorId="140" shapeId="0" xr:uid="{FE89BD6E-979B-E64C-B1D2-E02F0FD8BC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Treibhausgase ZE: 96%
Arbeitsunfälle ZE: 105%</t>
      </text>
    </comment>
    <comment ref="K40" authorId="141" shapeId="0" xr:uid="{965519B2-3CA6-CA41-B52C-D5173D26B65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Klimawandel/Reduzierung der absoluten Treibhausgas-
emissionen (Scope 3) um 3 %</t>
      </text>
    </comment>
    <comment ref="R40" authorId="142" shapeId="0" xr:uid="{7B466840-CF7D-0B48-82EC-D8A920F451D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Sicherheit/Kennzahl MAQ (Arbeitsunfälle (&gt;1 Arbeitstag) x 1 Mio./Arbeitsstunden) kleiner 2.2 </t>
      </text>
    </comment>
    <comment ref="AI40" authorId="143" shapeId="0" xr:uid="{B27649E0-146A-A14C-B166-AEDC2162DBD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Durch die beschriebene Umstellung des vorherigen LTIP mit dreijähriger Laufzeit auf den neuen LTIP mit vierjähriger Laufzeit
wurde im Geschäftsjahr 2024 kein LTIP vollständig erdient, sodass auf dieser Basis keine Auszahlung im Jahr 2025 erfolgt.
</t>
      </text>
    </comment>
    <comment ref="AK40" authorId="144" shapeId="0" xr:uid="{D1633E33-AA8D-D942-B78E-8269B8836A4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Erhöhung der Öko-Effizienz der Treibhausgas-Emissionen
(Scope 1+2) um 6,6 %, bezogen auf die Wertschöpfung
</t>
      </text>
    </comment>
    <comment ref="D41" authorId="4" shapeId="0" xr:uid="{B8FA0F96-5EB0-4376-BF63-073FEB51A6E0}">
      <text>
        <r>
          <rPr>
            <sz val="9"/>
            <color rgb="FF000000"/>
            <rFont val="Segoe UI"/>
            <charset val="1"/>
          </rPr>
          <t>CEO, der allerdings auch CEO von Porsche ist (auch einberechnet), auszahlung, sprich STI von Porsche und VW (Vorgehensweise vom letzten Jahr)</t>
        </r>
      </text>
    </comment>
    <comment ref="E41" authorId="145" shapeId="0" xr:uid="{F506D4FC-E950-F24B-94E7-A7C8BE96176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Aufgrund der entsprechenden Möglichkeit zieht der Aufsichtsrat für die Geschäftsjahre 2024 und 2025 ausschließlich den Diversity-Index heran; voraussichtlich ab dem
Geschäftsjahr 2026 wird der Aufsichtsrat auch wieder den Stimmungsindex heranziehen.</t>
      </text>
    </comment>
    <comment ref="F41" authorId="146" shapeId="0" xr:uid="{8765A32C-E23E-BF45-8354-9319DA1B744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Gibt im Grunde sogar zwei ESG multiplier</t>
      </text>
    </comment>
    <comment ref="I41" authorId="147" shapeId="0" xr:uid="{5430D754-E560-AB45-A4E9-D9DA26476D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Berechnet nach Seite 12/13
Governance-Faktor 1,0
Dekarbonisierungsindex 0,78
Diversity-Index 1,3</t>
      </text>
    </comment>
    <comment ref="K41" authorId="4" shapeId="0" xr:uid="{0D17B10B-057C-4023-BBD6-28A6D1BB4F8B}">
      <text>
        <r>
          <rPr>
            <sz val="9"/>
            <color rgb="FF000000"/>
            <rFont val="Segoe UI"/>
            <charset val="1"/>
          </rPr>
          <t xml:space="preserve">Dekarbonisierungsindex bemisst sich nach den Emissionen von CO2 und CO2-Äquivalenten
</t>
        </r>
        <r>
          <rPr>
            <sz val="9"/>
            <color rgb="FF000000"/>
            <rFont val="Segoe UI"/>
            <charset val="1"/>
          </rPr>
          <t xml:space="preserve">der Pkw und leichte Nutzfahrzeuge produzierenden Marken während des gesamten Lebenszyklus und
</t>
        </r>
        <r>
          <rPr>
            <sz val="9"/>
            <color rgb="FF000000"/>
            <rFont val="Segoe UI"/>
            <charset val="1"/>
          </rPr>
          <t xml:space="preserve">zeigt den Fortschritt hinsichtlich der Verbesserung unserer CO2-Bilanz. </t>
        </r>
      </text>
    </comment>
    <comment ref="L41" authorId="4" shapeId="0" xr:uid="{77BFF129-4D76-4449-AC9D-53BDE1D77E80}">
      <text>
        <r>
          <rPr>
            <sz val="9"/>
            <color rgb="FF000000"/>
            <rFont val="Segoe UI"/>
            <charset val="1"/>
          </rPr>
          <t>50% des ES-Faktors (0,7-1,3)</t>
        </r>
      </text>
    </comment>
    <comment ref="P41" authorId="4" shapeId="0" xr:uid="{943AA05E-7966-4ED0-8CAE-A60AAC6932D6}">
      <text>
        <r>
          <rPr>
            <sz val="9"/>
            <color rgb="FF000000"/>
            <rFont val="Segoe UI"/>
            <charset val="1"/>
          </rPr>
          <t>Stimmungsindex ausgesetzt dieses Jahr</t>
        </r>
      </text>
    </comment>
    <comment ref="Q41" authorId="4" shapeId="0" xr:uid="{F756DA6F-0FC1-44E0-A1D1-F2EFF6EBD77D}">
      <text>
        <r>
          <rPr>
            <sz val="9"/>
            <color rgb="FF000000"/>
            <rFont val="Segoe UI"/>
            <charset val="1"/>
          </rPr>
          <t>Diversityindex sind  50% des ES-Faktors (0,7-1,3)</t>
        </r>
      </text>
    </comment>
    <comment ref="S41" authorId="4" shapeId="0" xr:uid="{E0AA5A6F-BB62-4D27-9C2E-F3D0FDC652CF}">
      <text>
        <r>
          <rPr>
            <sz val="9"/>
            <color rgb="FF000000"/>
            <rFont val="Segoe UI"/>
            <charset val="1"/>
          </rPr>
          <t>Diversityindex ist 50% des ES-Faktors (0,7-1,3)</t>
        </r>
      </text>
    </comment>
    <comment ref="U41" authorId="4" shapeId="0" xr:uid="{5784737A-DA71-47AB-9E60-EDEEE05F2349}">
      <text>
        <r>
          <rPr>
            <sz val="9"/>
            <color rgb="FF000000"/>
            <rFont val="Segoe UI"/>
            <charset val="1"/>
          </rPr>
          <t>Compliance/ Integrität</t>
        </r>
      </text>
    </comment>
    <comment ref="V41" authorId="4" shapeId="0" xr:uid="{2D148309-F338-4CC6-957F-D077AE247D66}">
      <text>
        <r>
          <rPr>
            <sz val="9"/>
            <color rgb="FF000000"/>
            <rFont val="Segoe UI"/>
            <charset val="1"/>
          </rPr>
          <t>G-Faktor der normalerweise 1,0 beträgt, 2024 auch, also ZE 100% zwischen 0,9 und 1,1</t>
        </r>
      </text>
    </comment>
    <comment ref="AD41" authorId="4" shapeId="0" xr:uid="{5CE79B27-DEEA-4470-B888-D7E4A32FA58F}">
      <text>
        <r>
          <rPr>
            <sz val="9"/>
            <color rgb="FF000000"/>
            <rFont val="Segoe UI"/>
            <charset val="1"/>
          </rPr>
          <t>CEO, der allerdings auch CEO von Porsche ist (auch einberechnet), auszahlung</t>
        </r>
      </text>
    </comment>
    <comment ref="AI41" authorId="148" shapeId="0" xr:uid="{DEC4B6F2-6AA2-1541-8D47-3509FB8196E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21-24
Nur 2024 69% ZE</t>
      </text>
    </comment>
    <comment ref="D42" authorId="149" shapeId="0" xr:uid="{2FD1DF36-7DB0-684A-93D8-D9F11A591DB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CEO
</t>
      </text>
    </comment>
    <comment ref="F42" authorId="4" shapeId="0" xr:uid="{29FFABBE-004C-4ED1-B112-1F02710D7BFB}">
      <text>
        <r>
          <rPr>
            <sz val="11"/>
            <color rgb="FF000000"/>
            <rFont val="Aptos Narrow"/>
            <family val="2"/>
          </rPr>
          <t>Keine STI ESG Ziele</t>
        </r>
      </text>
    </comment>
    <comment ref="I42" authorId="150" shapeId="0" xr:uid="{BCCF86DC-B668-FD49-BDEC-BB7588CA94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 sich 132, aber durch cap begrenzt</t>
      </text>
    </comment>
    <comment ref="AD42" authorId="151" shapeId="0" xr:uid="{13BDC159-CDBD-104F-AED8-D141D95D0A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Ziel CEO</t>
      </text>
    </comment>
    <comment ref="AE42" authorId="152" shapeId="0" xr:uid="{96CE67A1-5F67-B146-9558-CD41B3D15D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CO2-Intensität des Bestands
&gt; Durchschnittlicher Primärenergiebedarf der Neubauten
&gt; Barrierearme (Teil-)Modernisierungen
&gt; Customer-Satisfication-Index (CSI)
&gt; Zufriedenheit der Mitarbeiterinnen und Mitarbeiter
&gt; Anteil weiblicher Führungskräfte
ZE nur ESG 169,17
Einzelne punkte nach oben genannter Reihenfolge:
200%, 200%, 91,7%, 200%, 200%, 0%</t>
      </text>
    </comment>
    <comment ref="AI42" authorId="153" shapeId="0" xr:uid="{2A9E058C-CDCA-6844-998F-A7FEE5EF31F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Sustainability Performance Index ZE 169,17, besteht aus folgenden KPIs und den dazugehörigen Zielerreichungen
CO₂-Intensität: 200,0%
Durchschnittlicher Primärenergiebedarf der Neubauten: 200,0%
Barrierearme (Teil-)Modernisierungen: 91,7%
CSI (Customer Satisfaction Index): 200,0%
Zufriedenheit der Mitarbeiter und Mitarbeiterinnen: 200,0%
Anteil weiblicher Führungskräfte: 0,0%</t>
      </text>
    </comment>
    <comment ref="AK42" authorId="154" shapeId="0" xr:uid="{90171CD5-AEFD-AD48-BBB4-FC61656C3DB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CO2-Intensität des Bestands</t>
      </text>
    </comment>
    <comment ref="AN42" authorId="4" shapeId="0" xr:uid="{7E4B6CC3-9AF0-4EC4-B813-EA47CB204DD6}">
      <text>
        <r>
          <rPr>
            <sz val="9"/>
            <color rgb="FF000000"/>
            <rFont val="Segoe UI"/>
            <charset val="1"/>
          </rPr>
          <t xml:space="preserve">0.25*35=
</t>
        </r>
        <r>
          <rPr>
            <sz val="9"/>
            <color rgb="FF000000"/>
            <rFont val="Segoe UI"/>
            <charset val="1"/>
          </rPr>
          <t xml:space="preserve">0.25*10= 
</t>
        </r>
        <r>
          <rPr>
            <sz val="9"/>
            <color rgb="FF000000"/>
            <rFont val="Segoe UI"/>
            <charset val="1"/>
          </rPr>
          <t>ESG 25% insgesamt + individuelle Gewichtung nach S.20</t>
        </r>
      </text>
    </comment>
    <comment ref="AS42" authorId="155" shapeId="0" xr:uid="{7F4F6CDC-B028-A24E-9CB3-09B863D8B1F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25%*10%
25%*20%
25%*10%</t>
      </text>
    </comment>
    <comment ref="D43" authorId="156" shapeId="0" xr:uid="{847664E9-44F2-9645-AD88-3AE63F95BE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S.8 gemittelt (ZGI)</t>
      </text>
    </comment>
    <comment ref="F43" authorId="157" shapeId="0" xr:uid="{312E062C-3F8C-4542-A107-2C6F670CB43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Keine ESG Ziele</t>
      </text>
    </comment>
    <comment ref="I43" authorId="158" shapeId="0" xr:uid="{EC666C76-2772-3D4A-85ED-4F019D8DFC4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S.35</t>
      </text>
    </comment>
    <comment ref="AE43" authorId="159" shapeId="0" xr:uid="{E06B826A-CC82-3242-B226-FF4437B1CF2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 Scope 1 und 2 THG Emissionen (ii) Scope 3 THG Emissionen - beide
gleich stark gewichtet
Anteil Frauen in einer (i) Senior Contributor 1-Rolle (ii) Senior Contributor
2-Rolle (iii) Executive Contributor 1-Rolle (iv) Executive Contributor 2-
Rolle - </t>
      </text>
    </comment>
    <comment ref="AF43" authorId="4" shapeId="0" xr:uid="{8ADC6B31-1686-4A57-963E-845F305909CC}">
      <text>
        <r>
          <rPr>
            <sz val="9"/>
            <color rgb="FF000000"/>
            <rFont val="Segoe UI"/>
            <charset val="1"/>
          </rPr>
          <t xml:space="preserve">ESG-Modifier (0,8-1,2), </t>
        </r>
      </text>
    </comment>
    <comment ref="AH43" authorId="160" shapeId="0" xr:uid="{13B7BA06-2B00-3D4C-B7B0-E39B24CA1F4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Für alle die schon auf dem neuen Vergütungssystem sind sind die KPIs gleich. Der CEO hat aber teilweise noch andere KPIs, aber nur weil andere Mitglieder noch auf dem alten System sind. Aber es gibt unterschiedlicher Auszahlungen bei dem gleichen erreichtem Wert (CPO zu CEO), aber gleiche KPI</t>
      </text>
    </comment>
    <comment ref="AI43" authorId="161" shapeId="0" xr:uid="{9EF98660-EA1A-EC44-B68D-57F3890412E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Bezieht sich auf die LTI 2019 (mit einem noch anderen System), von den neueren Tranchen ist keine ZE angegeben.
</t>
      </text>
    </comment>
    <comment ref="AK43" authorId="162" shapeId="0" xr:uid="{ECFB4A06-FACF-5740-9B8D-57F67919BF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Scope 1 und 2 THG Emissionen (ii) Scope 3 THG Emissionen - beide
gleich stark gewichtet</t>
      </text>
    </comment>
    <comment ref="AL43" authorId="163" shapeId="0" xr:uid="{C6355060-C5A5-394D-8258-91CD7C98C9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Je 25% des ESG Faktors</t>
      </text>
    </comment>
    <comment ref="AR43" authorId="164" shapeId="0" xr:uid="{650F6D44-CDD1-1340-A327-3BC73F9B16D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Anteil Frauen in einer (i) Senior Contributor 1-Rolle (ii) Senior Contributor
2-Rolle (iii) Executive Contributor 1-Rolle (iv) Executive Contributor 2-
Rolle - alle gleich stark gewichtet</t>
      </text>
    </comment>
    <comment ref="AS43" authorId="165" shapeId="0" xr:uid="{FE0A6C56-9BEE-5949-B65A-AD9D2932D7F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50% des ESG Faktors, 12,5 % pro spezifischer KPI</t>
      </text>
    </comment>
    <comment ref="AW43" authorId="166" shapeId="0" xr:uid="{E8877E69-BB01-1C48-A474-8736460D454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Anteil Frauen in einer (i) Senior Contributor 1-Rolle (ii) Senior Contributor
2-Rolle (iii) Executive Contributor 1-Rolle (iv) Executive Contributor 2-
Rolle - alle gleich stark gewichtet</t>
      </text>
    </comment>
    <comment ref="AX43" authorId="167" shapeId="0" xr:uid="{84D94E60-7AD0-4641-8E24-015965DD12B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50% des ESG Faktors </t>
      </text>
    </comment>
    <comment ref="AZ43" authorId="168" shapeId="0" xr:uid="{4BD5DBB1-8B95-934B-B49E-B050C36F60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LTI besteht aus Aktien und Optionen, Cap ist 200 % des Aktienkurses bei Zuteilung
250 % des Aktienkurses bei Zuteilung für Optionen</t>
      </text>
    </comment>
  </commentList>
</comments>
</file>

<file path=xl/sharedStrings.xml><?xml version="1.0" encoding="utf-8"?>
<sst xmlns="http://schemas.openxmlformats.org/spreadsheetml/2006/main" count="402" uniqueCount="289">
  <si>
    <t>DAX</t>
  </si>
  <si>
    <t>Airbus</t>
  </si>
  <si>
    <t>Allianz</t>
  </si>
  <si>
    <t>BASF</t>
  </si>
  <si>
    <t>Bayer</t>
  </si>
  <si>
    <t>Beiersdorf</t>
  </si>
  <si>
    <t>BMW</t>
  </si>
  <si>
    <t>Brenntag</t>
  </si>
  <si>
    <t>Commerzbank</t>
  </si>
  <si>
    <t>Continental</t>
  </si>
  <si>
    <t>Daimler Truck</t>
  </si>
  <si>
    <t>Deutsche Bank</t>
  </si>
  <si>
    <t>Deutsche Börse</t>
  </si>
  <si>
    <t>Deutsche Post</t>
  </si>
  <si>
    <t>Deutsche Telekom</t>
  </si>
  <si>
    <t>E.ON</t>
  </si>
  <si>
    <t>Fresenius</t>
  </si>
  <si>
    <t>Hannover Rück</t>
  </si>
  <si>
    <t>Heidelberg Materials</t>
  </si>
  <si>
    <t>Henkel</t>
  </si>
  <si>
    <t>Infineon</t>
  </si>
  <si>
    <t>Mercedes-Benz Group</t>
  </si>
  <si>
    <t>Merck</t>
  </si>
  <si>
    <t>MTU Aero Engines</t>
  </si>
  <si>
    <t>Münchener Rück</t>
  </si>
  <si>
    <t>Porsche AG</t>
  </si>
  <si>
    <t>Porsche SE</t>
  </si>
  <si>
    <t>Qiagen</t>
  </si>
  <si>
    <t>Rheinmetall</t>
  </si>
  <si>
    <t>RWE</t>
  </si>
  <si>
    <t>SAP</t>
  </si>
  <si>
    <t>Sartorius</t>
  </si>
  <si>
    <t>Siemens</t>
  </si>
  <si>
    <t>Siemens Energy</t>
  </si>
  <si>
    <t>Siemens Healthineers</t>
  </si>
  <si>
    <t>Symrise</t>
  </si>
  <si>
    <t>Volkswagen</t>
  </si>
  <si>
    <t>Vonovia</t>
  </si>
  <si>
    <t>Zalando</t>
  </si>
  <si>
    <t>percentage</t>
  </si>
  <si>
    <t xml:space="preserve">int </t>
  </si>
  <si>
    <t>int (1 = multiplier, 2 = KPI)</t>
  </si>
  <si>
    <t>binary (1 = yes, 0 = no)</t>
  </si>
  <si>
    <t>text</t>
  </si>
  <si>
    <t xml:space="preserve">text </t>
  </si>
  <si>
    <t>int</t>
  </si>
  <si>
    <t>cnameshort</t>
  </si>
  <si>
    <t>cindex</t>
  </si>
  <si>
    <t>year</t>
  </si>
  <si>
    <t xml:space="preserve">STI_share_of_total_compensation </t>
  </si>
  <si>
    <t>STI_count_of_total_ESG_KPI</t>
  </si>
  <si>
    <t>STI_ESG_KPI_as_multiplier_or_KPI</t>
  </si>
  <si>
    <t>STI_total_ESG_Share</t>
  </si>
  <si>
    <t>STI_ESG_CEO_criteria_differ_from_restofBoard</t>
  </si>
  <si>
    <t>STI_Zielerreichung</t>
  </si>
  <si>
    <t>STI_E_KPI</t>
  </si>
  <si>
    <t>STI_E_KPI_Emission reduction</t>
  </si>
  <si>
    <t>STI_E_KPI_Emission reduction_Share</t>
  </si>
  <si>
    <t>STI_E_KPI_other</t>
  </si>
  <si>
    <t>STI_E_KPI_other_Share</t>
  </si>
  <si>
    <t>STI_S_KPI</t>
  </si>
  <si>
    <t>STI_S_KPI_employee satisfaction</t>
  </si>
  <si>
    <t>STI_S_KPI_employee satisfaction_Share</t>
  </si>
  <si>
    <t>STI_S_KPI_other</t>
  </si>
  <si>
    <t>STI_S_KPI_other_Share</t>
  </si>
  <si>
    <t>STI_G_KPI</t>
  </si>
  <si>
    <t>STI_G_KPI_compliance</t>
  </si>
  <si>
    <t>STI_G_KPI_compliance_Share</t>
  </si>
  <si>
    <t>STI_G_KPI_other</t>
  </si>
  <si>
    <t>STI_G_KPI_other_Share</t>
  </si>
  <si>
    <t>STI_cap (%)</t>
  </si>
  <si>
    <t>ESG_in_STI_comment</t>
  </si>
  <si>
    <t>MTI_share_of_total_compensation</t>
  </si>
  <si>
    <t>MTI_count_of_total_ESG_criteria</t>
  </si>
  <si>
    <t>MTI_ESG_KPI_as_multiplier_or_KPI</t>
  </si>
  <si>
    <t>LTI_share_of_total_compensation</t>
  </si>
  <si>
    <t>LTI_count_of_total_ESG KPI</t>
  </si>
  <si>
    <t>LTI_ESG_KPI_as_multiplier_or_KPI</t>
  </si>
  <si>
    <t>LTI_total_ESG_Share</t>
  </si>
  <si>
    <t>LTI_ESG_CEO_criteria_differ_from_restofBoard</t>
  </si>
  <si>
    <t>LTI_Zielerreichung</t>
  </si>
  <si>
    <t>LTI_E_KPI</t>
  </si>
  <si>
    <t>LTI_E_KPI_Emission reduction</t>
  </si>
  <si>
    <t>LTI_E_KPI_Emission reduction_Share</t>
  </si>
  <si>
    <t>LTI_E_KPI_other</t>
  </si>
  <si>
    <t>LTI_E_KPI_other_Share</t>
  </si>
  <si>
    <t>LTI_S_KPI</t>
  </si>
  <si>
    <t>LTI_S_KPI_employee satisfaction</t>
  </si>
  <si>
    <t>LTI_S_KPI_employee satisfaction_Share</t>
  </si>
  <si>
    <t>LTI_S_KPI_other</t>
  </si>
  <si>
    <t>LTI_S_KPI_other_Share</t>
  </si>
  <si>
    <t>LTI_G_KPI</t>
  </si>
  <si>
    <t>LTI_G_KPI_compliance</t>
  </si>
  <si>
    <t>LTI_G_KPI_compliance_Share</t>
  </si>
  <si>
    <t>LTI_G_KPI_other</t>
  </si>
  <si>
    <t>LTI_G_KPI_other_Share</t>
  </si>
  <si>
    <t>LTI_cap (%)</t>
  </si>
  <si>
    <t>ESG_in_LTI_comment</t>
  </si>
  <si>
    <t xml:space="preserve">Adidas </t>
  </si>
  <si>
    <t>Erhöhte Transparenz der Geschäftslage in der Organisation</t>
  </si>
  <si>
    <t>STI: Währungsneutraler Umsatzanstieg 30%, Betriebsergebnis 50%, nichtfinanzielle Kriterien insgesamt 20% insgesamt 3: Business/ ‚Operating Model‘, Kostenoptimierung und Mitarbeiter und Unternehmenskultur. Der letzte punkt wird durch Erhöhte Transparenz der Geschäftslage in der Organisation und Mitarbeiter-Engagement beschrieben.</t>
  </si>
  <si>
    <t>2024 keine LTI vergütung</t>
  </si>
  <si>
    <t>Anteil weiblicher Führungskräfte</t>
  </si>
  <si>
    <t>Der LTIP besteht aus jährlichen Tranchen, die jeweils eine Laufzeit von vier Jahren haben. Jede LTIP-Tranche setzt sich aus einer dreijährigen Performance-Periode und einer nachfolgenden einjährigen Halteperiode zusammen. Die LTI besteht zu 60% aus dem Betreibsergebnis, 20% aus dem relativem TSR, 10% aus dem Kriterium Nachhaltigkeit (Reduktion der CO2-Intensität per Produkt) sowie 10 % aus dem Kriterium Soziales(Anteil weiblicher Führungskräfte). Auserdem hängt die entgültige Auszahlung von der Aktienkursentwicklung ab (vorläufige vrituelle Aktien)</t>
  </si>
  <si>
    <t xml:space="preserve">Execution Digital &amp; decarbonisation roadmap (e.g. more use of SAF fuels) </t>
  </si>
  <si>
    <t>Anzahl von Arbeitsunfällen</t>
  </si>
  <si>
    <t>STI: gemeninsame Ziele (50%): EPS 20%, FCF 20%, Sustainability (CO2, Unfälle) 10%, indivudelle Ziele 50% (45% outcome element (individual objectives 2/3 und company objectives 1/3), 5% behaviour element).  Neben dem Punkt Sustainability (je 1 E und S Ziel), gibt es in den indv. Zielen des CEO ein Execution Digital &amp; Decarbonisation roadmap was 5% der individuellen Zieele ausmacht (wurde nochmals halbiert um digital auszuschließen (nur Annäherung))</t>
  </si>
  <si>
    <t xml:space="preserve">Abhängig von 3 jähriger performance, kein vesting bei negativem EBIT, sonst vesting zwischen 50 und 150. Es gibt keine ESG LTI, für 2024 sind die LTI auf 100% gecapped. LTI: average EPS 75%, cumulative FCF 25%. </t>
  </si>
  <si>
    <t>Kundenzufriedenheit: Entwickung digital NPS</t>
  </si>
  <si>
    <t xml:space="preserve">Führungsqualität mit besonderem Schwerpunkt auf Kunden- und Marktexzellenz, kollaborativer Führung, Unternehmertum und Glaubwürdigkeit </t>
  </si>
  <si>
    <t>Operatives Ergebnis und auf Anteilseigner entfallender Jahresüberschuss (wird jeweils mit 50 % gewertet)  wird mit den individuellen Beitragsfaktor (IBF), welcher einerseits die Ergebnisse des Geschäftsbereichs und andererseitsndie individuellen Leistungen der Vorstandsmitglieder bewertet, mit einem Faktor zwischen 0,8 und 1,2 angepasst. Der IBF besteht aus rund 33% aus ESG, dies kann aber abweichen und individuell angepasst werden. DIe 4 ESG punkte sind: Nachhaltigkeit gemessen etwa an der Reduktion der Treibhausgasemissionen der Allianz Gesellschaften sowie an der Entwicklung von Plänen zur Reduzierung von CO2 -Emissionen im Rahmen der Kapitalanlage.Kundenzufriedenheit: Entwicklung digital Net Promoter Score. Mitarbeiterzufriedenheit: Entwicklung Allianz Engagement Survey einschließlich Inclusive Meritocracy Index, Work Well Index Plus. Führungsqualität mit besonderem Schwerpunkt auf Kunden- und Marktexzellenz, kollaborativer Führung, Unternehmertum und Glaubwürdigkeit.</t>
  </si>
  <si>
    <t>1; 1</t>
  </si>
  <si>
    <t>33,33; 100</t>
  </si>
  <si>
    <t>Arbeitssicherheit und Prozesssicherheit</t>
  </si>
  <si>
    <t>Berechnung STI: Zielbetrag  * ((Zeihlerreihung ROCE x 25%) +( Zeihlerreichung EBITA vor sondereinflüssen x 25%) + (Ziehlereeichung Cashflow aus betrieblicher Tätigkeit x 25%) + (Zeilerreichung nicht-finanzielle Ziehle)  sprich die nicht finanziellen ziehle werden mit 25% gewichtet, darunter Mitarbeiterzufriedenheit, Arbeitssicherheit und Ziehle zu strategischen Projekten (alle gleich gewichtet)</t>
  </si>
  <si>
    <t>Vierjährige Performance-Periode. Das Erreichen von drei vereinbarten strategischen Zielen (Wachstum, Profitabilität, Nachhaltigkeit) (ROCE, EBITA, CO2 Reduktion) und die Kursentwicklung der BASF-Aktie zusätzlich der gezahlten Dividenden (Total Shareholder Return) bestimmen die Höhe des Auszahlungsbetrags. Das Kriterium NAhhaltigkeit besteht aus CO2 Emissionsreduktion</t>
  </si>
  <si>
    <t>Nachfolgeplanungs- und Karriereförderungs­programm etablieren, u. a. zur Erhöhung der Diversität</t>
  </si>
  <si>
    <t>STI besteht aus 3 (additiven)  Teilen, welche je mit 1/3 gewichtet sind. Darunter sind Core EPS auf Konzernebene, Free Cashflow auf Konzernebene, wpd. Umsatzwachstum auf Konzernebene. Der daraus resultierende Wert wird dann mit  Strategieentwicklung und umsetzteng (mögliche Werte zwischen 0,8 und 1,2) multipliziert. Dabei ist eines der Ziele aus dem multiplikator ESG relevant (Nachfolgeplanungs- und Karriereförderungsprogramm etablieren, u. a. zur Erhöhung der Diversität). Bei der Zielerreichung wird aber nur von der Frauenquote gesprochen, deswegen ahbe ich es auch entsprchend eigeordnet. ( Er konnte gute Fortschritte in Bezug auf Gender Diversity erzielen (Steigerung des Frauenanteils unter den Top 500 Führungskräften des Bayer Konzerns von 32 % auf 35 %).</t>
  </si>
  <si>
    <t>4;4</t>
  </si>
  <si>
    <t>Anzahl der: unterstützten Kleinbauern in Ländern mit geringem bis mittlerem Einkommensniveau, … mit alltäglicher Gesundheitsversorgung unterstützten
Menschen in unterversorgten Regionen, Frauen in Ländern mit geringem bis mittlerem
Einkommensniveau mit Zugang zu moderner
Empfängnisverhütung</t>
  </si>
  <si>
    <t>4;4;4</t>
  </si>
  <si>
    <t>vierjährige Periode, LTI wird zum einen Tiel von einer: 80 % Gewichtung: relativer Total Shareholder Return im Vergleich zu den Unternehmen des EURO STOXX 50 Total Return (Ranking)
20 % Gewichtung: Nachhaltigkeitsziele (... Scope-1- und -2-Treibhausgas-Emissionen, ... Scope-3-Treibhausgas-Emissionen relevanter Kategorien, ... unterstützten Kleinbauern in Ländern mit geringem bis mittlerem Einkommensniveau, ... mit alltäglicher Gesundheitsversorgung unterstützten Menschen in unterversorgten Regionen, ... Frauen in Ländern mit geringem bis mittlerem Einkommensniveau mit Zugang zu moderner Empfängnisverhütung. )beeinflusst außerdem hat der Aktienkurs einfluss auf die gesamte LTI</t>
  </si>
  <si>
    <t>Berechnung STI: Zielbetrag * Erfolg (70-90% gemeinschaftliche Ziele und 10-30% Individuelle Ziele), gemeinschaftliche Ziele enthalten kein ESG-Ziel, individuelle des CEO eins und zwar Nachhaltigkeit vorantreiben. Aber sehr allgemien/vage deshalb als allgemines ESG Ziel zugeordnet und keinem E,S oder G</t>
  </si>
  <si>
    <t>Steigerung des Anteils recycelter Materialien in Plastikverpackungen um 20 %; Transformation der big 4 Produktreihen auf Nachhaltige Verpakungen/Formulierungen</t>
  </si>
  <si>
    <t>5;10</t>
  </si>
  <si>
    <t>Erhöhung des Frauenanteils auf den Führungsebenen MG 1-4 auf 45%;Diversity&amp;Inclusion Ziehle</t>
  </si>
  <si>
    <t>10;5</t>
  </si>
  <si>
    <t xml:space="preserve"> Erhöhung des Frauenanteils auf den Führungsebenen MG 1-4 auf 45%;Nachfolgeplanung für MG 1-4 einschließlich Steigerung der internen und internationalen Beförderungen.</t>
  </si>
  <si>
    <t>LTI setzt sich zusammen aus den strategischen  Zielen (je 20%): digitale Transformation, Win with SKin care; Erschließung neuer Wachstumsmärkte und Geschäftsfelder, Nachhaltigkeit (3 Unterpunkte), Diversität und Personalentwicklung (3 Unterpunkte). Ab einer Zielerreichung von über 90% werden auch weitere Leistungskennzahlen beachetet und die ZE der Leistungskennzahlen mit der ZE der strategischen Ziele multipliziert. Neben dem LTI kann es auch einen zusätzlichen MAB (Multi Annual Bonus) geben, der allerdings keine ESG Ziele beinhaltet. Er ist von einer periode von mindestens 3 Jahre, deswegen sehe ich ihn nicht als MTI.</t>
  </si>
  <si>
    <t>Innovationsleistung (ökologisch, z. B. Absatzanteil vollelektrischer Fahrzeuge (Battery Electric Vehicle, BEV)); Fortschritte Nachhaltigkeitsstrategie und Transformation (CEO), Beitrag zur Erfüllung der Wachstums­, Profitabilitäts­ und Nachhaltigkeitsziele (nur 1/3 des Ziehlen weil nur ein Punkt nachhaltigkeit ist)</t>
  </si>
  <si>
    <t>5;0,625;0,2</t>
  </si>
  <si>
    <t xml:space="preserve">Wandlungsfähigkeit (Investitionen in Aus- und Weiterbildung); Attraktivität als Arbeitgeber ,Führungsleistung im Ressort und Erreichung der Diversity-Ziele im Ressort; </t>
  </si>
  <si>
    <t>5;5;0,625</t>
  </si>
  <si>
    <t>Reputation (Corporate Reputation) (G)</t>
  </si>
  <si>
    <t xml:space="preserve">Die STI (hier Tantieme genannt) setzt sich aus zur Hälfte aus einer Ergebniskomponente (finanziell) und zur anderen Hälfte aus einer Leistungskomponente (50% davon sind Ressortübergreifende ESG-Ziele, Ressortziele und Sonstige ressortübergreifenden nichtfinanzielle Ziele die anderen 50% mit teilweise auch ESG-Zielen). Beide Komponenten werden mit Zielbetrag*Ergebnis- bzw. Leistungsfaktor multipliziert und dann addiert. </t>
  </si>
  <si>
    <t>Absatz vollelektrische
Fahrzeuge (BEV) in Einheiten</t>
  </si>
  <si>
    <t>LTI (hier: aktienorientierte Vergütung) wird aus RoCE-Faktor und Faktor strategischer Fokusziele mit dem Verhältnis 1:1 berechnet. Die strategischen Fokusziele waren für das Jahr 2024: Reduktion der CO2-Flottenemissionen in der EU nach WLTP; Absatz vollelektrischer Fahrzeuge (Battery Electric Vehicle,
BEV). Beide Ziele haben das Verhätnis 1:1 und somit je 25% der LTI. Die Vorstandsmitglieder
sind verpflichtet, die LTI abzüglich Steuern und Abgaben unmittelbar nach Auszahlung in BMW Stammaktien zu investieren und die Aktien über einen Zeitraum von mindestens vier Jahren zu halten</t>
  </si>
  <si>
    <t>Definition und Durchführung von Maßnahmen zur Nach-
folgeplanung und Entwicklung von Top-Talenten</t>
  </si>
  <si>
    <t>ESG-Ziele spielen nur beim Individuellen Leistungsmultiplikator (0,8 - 1,2) eine Rolle und wenig Details erklärt. Diese individuellen Leistungsaspekte umfassen unter anderem die Themen (also ein wenig schwammig): ESG ... Der Leistungsmultiplikator wurde auf 0,95 für 2024 gesetzt. Der Leistungsmultiplikator wird dann mit dem Zielbetrag und der geichteten Zielerreichung aus organischem operativem EBITA (60% Gewicht), Umschlagshäufigkeit des working capital (20% Gewicht) und Ergebnis je Aktie (20%) multipliziert. Drei der 5 ESG ziehlen sehr allgemein und deshalb nicht einzel genannt: Entwicklung und Durchführung von Maßnahmen zur Steigerung von Sicherheit, Gesundheits- und Umweltschutz, Finalisierung von Programmen und Einführung neuerMaßnahmen in den Bereichen Risikomanagement, Compliance und ESG. Schwerwiegende HSE-Ereig-
nisse (Health, Safety, Environment) ausbleiben sollen</t>
  </si>
  <si>
    <t>Weitere Erhöhung der Arbeitssicherheit (Reduktion derTotal Recordable Injury Frequency Rate [TRIR]);Steigerung des Anteils weiblicher Mitarbeitender auf
unterschiedlichen Managementebenen</t>
  </si>
  <si>
    <t xml:space="preserve"> Steigerung des Anteils weiblicher Mitarbeitender auf
unterschiedlichen Managementebenen</t>
  </si>
  <si>
    <t>Die LTI werden in Form virtueller Aktien (Performance Share Units) zugeteilt. Die final an das Vorstandsmitglied zugeteilte Anzahl virtueller Aktien ist an zwei finanzielle Leistungskriterien (70% Ranking der Brenntag TSR Performance
vs. globale Vergleichsgruppe, 30% ROCE) und über einen ESG-Multiplikator an ESG-Ziele geknüpft.  Die Summe der jeweiligen gewichteten Aktienzuteilungen jedes Leistungskriteriums wird mit der Erreichung bestimmter ESG-Ziele mithilfe eines ESG-Multiplikators multipliziert, der zwischen 0,8 und 1,2 liegen kann</t>
  </si>
  <si>
    <t>Reduktion der CO2-Intensitäten
der 8 SBTi-Sektorportfolien gemäß
SBTi-Commitmen</t>
  </si>
  <si>
    <t xml:space="preserve">Anteil der Frauen in Führungspositionen der Commerzbank AG Inland über alle Führungsebenen hinweg steigern; Steigerung der Kundenzufriedenheit </t>
  </si>
  <si>
    <t>2,4;6</t>
  </si>
  <si>
    <t xml:space="preserve">Anteil der Frauen in Führungspositionen der Commerzbank AG Inland über alle Führungsebenen hinweg steigern; Aktives Vorleben und Fördern der Unternehmenswerte und der Culture of Integrity; Stärkung der Zusammenarbeit im
Vorstand ; </t>
  </si>
  <si>
    <t>2,4; 2,4; 2,4</t>
  </si>
  <si>
    <t>Das STI (40 % des Gesamtzielerreichungsbetrages) wird zu 40 % nach Abschluss des Geschäftsjahres ausgezahlt. Die verbleibenden 60 % werden aktienbasiert nach einer Wartezeit von zwölf
Monaten ebenso als Geldbetrag ausgezahlt. Aufgeteilung: 60% Konzernziele (davon 20% ESG, 50% operatives Ergebnis und 30% NetRoTE), 30% Ressortziele (20% ESG) und 10% indviduelle Ziele (davon 80% ESG). Berechnung STI und LTI gleich</t>
  </si>
  <si>
    <t xml:space="preserve"> Aufgeteilung: 60% Konzernziele (davon 20% ESG, 50% operatives Ergebnis und 30% NetRoTE), 30% Ressortziele (20% ESG) und 10% indviduelle Ziele (davon 80% ESG). STI und LTI werden identisch berechnet. Das LTI (60 % des Gesamtzielerreichungsbetrages) entsteht in regelmäßig fünf gleich hohen jährlichen Tranchen. Die erste LTI-Tranche entsteht im zweiten Jahr des Zurückbehaltungszeitraums von fünf Jahren. Die weiteren Tranchen werden in den Folgejahren ausgezahlt. Jede Tranche unterliegt einer nachträglichen Leistungsbewertung. Mit der nachträglichen Leistungsbewertung überprüft der Aufsichtsrat, ob die ursprünglich ermittelte Zielerreichung auch rückblickend noch zutreffend ist. Sofern sich die durch die variable Vergütung honorierten Erfolge nicht als nachhaltig erwiesen haben, hat der Aufsichtsrat die Möglichkeit, seine ursprüngliche Bewertung der Zielerreichung zu
korrigieren. Dies kann zu einer Reduzierung bis zu einem vollständigen Entfall des LTI führen. Jede Tranche des LTI wird zu 40 % nach Durchführung der nachträglichen Leistungsbewertung ausgezahlt. Die verbleibenden 60 % jeder Tranche werden aktienbasiert nach einer weiteren Wartezeit
von zwölf Monaten ebenso als Geldbetrag ausgezahlt.</t>
  </si>
  <si>
    <t>Zur Berechnung der STI fließen zum einen finanzielle Kriterien (45% EBIT und 45% FCF) und nicht finanzielle Kriterien (10% ESG- Kennzahlen) mit ein. Das ESG Ziehl kann imer wechseln, in diesem JAhr ist es under dem Stichwort Integrität, welches 6 Fragen an die Matarbeiter beiinhalten, welches sich grob dem Themenschwerpunkt Mitarbeiterzufriedenheit zuordnen lassen. Der daraus resultierende Wert wird dann mit einem personal Contribution Factor multipliziert (zwischen 0,8-1,2). Dieser wurde aber auf 1.0 gesetzt, sprich nicht angewendet.  Allerdings sind 40 % des Auszahlungsbetrags des STI verpflichtend in Aktien zu investieren (3 Jahre Haltefrist)</t>
  </si>
  <si>
    <t>Abfallverwertungsquote</t>
  </si>
  <si>
    <t>Frauen in Führungspositionen</t>
  </si>
  <si>
    <t xml:space="preserve">  Frauen in Führungspositionen</t>
  </si>
  <si>
    <t>zu 50% TSR im Vergleih zum STOXX EUROPE 600 Automotive and Parts (relativer TSR), 30% ROCE, 20% ESG Kennzahlen (zwischen 1 und 4), + Aktienkursentwicklung. 4 Jahre laufzeit, davon 3 Jahre Performance und 1 Jahr Aktienkursentwicklung. Das LTI vergütunssystem wurde leicht umgestellt (weniger ESG KPIs). Somit kommen in 24 einerseits das alter System (ältere Trance die noch in 24 reichen) sowie das neuere System (tranchen die erst vor kurzem begonnen haben) zum Einsatz. Ich habe mich bei der Auflistung auf das neue System (mit wenigern KPIs) bezogen, allerdings bzieht sich die Zielerreichung auf eine ältere Tranche (mit altem System).</t>
  </si>
  <si>
    <t>Anzahl abgesetzer ZEV (Zero Emmision Vehicles)
(eTrucks und eBuses, Group Sales target)</t>
  </si>
  <si>
    <t>Es gibt einen Perfomance Faktor (0-200%), der die STI bestimmt. Davon sind 75% finanzielle Ziele (zu gleichen Teilen EBIT (Konzern/Segment) und FCF IB) sind 25% Nachhaltigkeitsziele, 2023 wurden je ein E (20%) und S (5%)  Ziel aufgenommen, allerdings kein G.</t>
  </si>
  <si>
    <t>Anteil weiblicher Führungskräfte an allen Führungskräften der Ebenen 1 bis 4 des Konzerns</t>
  </si>
  <si>
    <t xml:space="preserve">Für die VSEP-Tranche 2024 wird als finanzielles Leistungskriterium die relative Aktienkursentwicklung im Verhältnis zum MSCI World Industrials Index herangezogen (75%). Als nicht-finanzielle Leistungskriterien (25%) werden die Reduktion der CO2-Emissionen von Produktionsstätten
des Daimler Truck Konzerns sowie der Anteil weiblicher Führungskräfte an allen Führungskräften der Ebenen 1 bis 4 des Konzerns herangezogen. 3 jähriger Performance Zeitraum sowie 1 jährige Halteperiode. </t>
  </si>
  <si>
    <t>Vorantreiben der Behebung regulatorischer Feststellungen und Kontrollverbesserungen</t>
  </si>
  <si>
    <t>Die Hälfte des Short-Term Incentive (STI) wird direkt nach Ablauf der einjährigen Bemessungsperiode in bar ausgezahlt, die andere Hälfte wird zunächst in aktienbasierten Instrumenten mit einer zusätzlichen Haltefrist von einem Jahr gewährt. Nach Ablauf der Haltefrist wird auch dieser Teil in bar ausgezahlt. STI (für den CEO) besteht aus: 25,0% Kosten – Adjustierte Kosten auf Gruppenebene, 25,0% Erträge auf Gruppenebene,15,0% Fortschreibung und Umsetzung der Konzernstrategie, 15,0% Vorantreiben der Behebung regulatorischer Feststellungen und Kontrollverbesserungen, 20,0% Leitung der Einführung des Regelwerks "Das ist unsere Deutsche Bank"</t>
  </si>
  <si>
    <t>Geschlechtervielfalt</t>
  </si>
  <si>
    <t xml:space="preserve">Geschlechtervielfalt; Control-Risk-Management-Grade(CRMG), Fortschritten bei den Anti-Geldwäsche / Know-Your-Client-Verbesserungsmaßnahmen </t>
  </si>
  <si>
    <t>6,66;13,33</t>
  </si>
  <si>
    <t>Der Long-Term Incentive (LTI) wird, beginnend ein Jahr nach Ablauf der dreijährigen Bemessungsperiode, vollständig in aktienbasierten Instrumenten gewährt und in fünf gleichen, aufeinanderfolgenden Raten mit einer zusätzlichen Haltefrist von jeweils einem Jahr ausgezahlt. Insgesamt steht der volle LTI-Auszahlungsbetrag nach neun Jahren zur Verfügung. LTI besteht aus 41,6% aus den finanziellen Gruppenzielen, aus 25% aus der relativen Aktienrendite und aus 33,3% aus den ESG Zielen (je ein E, S, G)</t>
  </si>
  <si>
    <t>STI Zusammensetzung, je 1/3: Nettoerlöse; EBITDA; individuelle Ziele
Die ind. Ziele können ESG Ziele enthalten (nur eines dieses Jahr9. Auszahlung zu 50% in Bar und zu 50 % ristricted stock mit 4 jähriger Sperrfrist</t>
  </si>
  <si>
    <t>ESG-Ziele sind 25% der LTI, die gesamte LTI ZE wird dann allerdings nochmal mit einem Wertentwicklungsfaktor verrechnet werden. Es gibt 4 ESG-KPI, je 1 E und S und 2 insgesamte ESG-Ziele (Externe ESG-Ratings; Wachstum der Nettoerlöse mit ESG-Produkten)</t>
  </si>
  <si>
    <t>Cybersicherheits-Rating</t>
  </si>
  <si>
    <t>Leistungskriterien: EAC 60%, FCF 10%, ESG 30%. Auszahlung: 50 % im Folgejahr, 50 % nach weiteren zwei Jahren (Nachhaltigkeitsphase) und nur, wenn am Ende der Nachhaltigkeitsphase die Kapitalkosten verdient wurden (Mittelfristkomponente). ESG jeweils ein E,S,G (zu je 10%): E:Realisierte
Dekarbonisierungseffekte, S: Mitarbeiterengagement, G: Cybersicherheits-Rating. Der reultierende Wert kann mit zu/abgeschlagen werden. Von dieser Möglichkeit wurde allerdings kein Gebrauch gemacht.</t>
  </si>
  <si>
    <t>Höchstbetrag (Cap): 4x Grundgehalt (2,5x Grundgehalt für den Vorstandsvorsitzenden). Die Erfolgskriterien sind aktienkursbezogen. Sie sind teilweise an den absoluten Erfolg der Deutsche-Post-Aktie, teilweise an den Erfolg der Aktie im Vergleich zum STOXX Europe 600 Index geknüpft. Absolute Aktienkurssteigerung (Gewichtung: 4 / 6)  Relative Performance im Vergleich zum STOXX Europe 600 (Gewichtung: 2 / 6)</t>
  </si>
  <si>
    <t>1; 2</t>
  </si>
  <si>
    <t>16,66; 33,33</t>
  </si>
  <si>
    <t>Senkung Energieverbrauch</t>
  </si>
  <si>
    <t>Der Short Term Incentive (STI) ist das kurzfristige variable Vergütungsinstrument und hat eine Laufzeit von einem Jahr. Die Höhe des STI bemisst sich zu je einem Drittel aus Konzernfinanzzielen, Segmentfinanzzielen und ESG-Zielen. Bei der abschließenden Zielerreichungsbestimmung berücksichtigt der Aufsichtsrat einen individuellen Performancefaktor, mit dem die rechnerische Zielerreichung im Umfang zwischen 0,8 und 1,2 adjustiert werden kann, dabei hat der CEO zB Umsetzung ESG-Strategie (allgemeines ESG-Ziel), also 1 von  6 Zielen. Von den STI muss auch ein Teil in den shares matching plan investiert werden</t>
  </si>
  <si>
    <t>Kundenzufriedenheit</t>
  </si>
  <si>
    <t>LTI-parameter: Return on Capital Employed (ROCE), bereinigte Earnings Per Share (EPS), Kun-denzufriedenheit und Mitarbeiterzufriedenheit. Alle Punkte sind gleich gewichtet. Außerdem spielt die Aktienkurentwickling mit rein Aktienkursentwicklung</t>
  </si>
  <si>
    <t>25; 20</t>
  </si>
  <si>
    <t>Net Promoter Score; Weiterentwicklung der Health- &amp; Safety-Kultur</t>
  </si>
  <si>
    <t xml:space="preserve">20; </t>
  </si>
  <si>
    <t>Die STI besteht aus der Unternehmensperformance (80% EPS, 20% NPS (S)) und wird anschließend mit dem Individueller Performance-Faktor (0,8-1,2) multipliziert. , wobei  eine der 4 Kategorien des IPF Nachhaltigkeit ist. Dieser Punkt wird mit: Übererfüllung der ESG-Ziele im Bereich Klima und Dekarbonisierung; Weiterentwicklung der Health- &amp; Safety-Kultur, unter anderem durch konsequente Implementierung der gemeinschaftlichen Life Saving Rules bechrieben, spirch ein E und ein S</t>
  </si>
  <si>
    <t>Steigerung des Anteils weiblicher Führungskräfte; Reduktion der Häufigkeit schwerer Unfälle und Todesfälle</t>
  </si>
  <si>
    <t>6,25; 6,25</t>
  </si>
  <si>
    <t>Steigerung des Anteils weiblicher Führungskräfte</t>
  </si>
  <si>
    <t>LTI läuft 4 Jahre lang. Sie besteht aus 50% TSR, 25% ROCE sowie 25% E.ON Sustainability Index (Bildet die jeweils vier relevantes-
ten ESG-Aspekte bei E.ON ab: Reduzierung der Kohlenstoff-Emissionen (Scope 1 und 2) E, Steigerung des Anteils weiblicher Führungskräfte S,G,
Reduktion der Häufigkeit schwerer Unfälle und Todesfälle S, Stabile Ergebnisse in drei relevanten ESG Ratings (MSCI, Sustainalytics, ISS ESG), ESG allgemein). Außerdem hängt die gesamte LTI von der Aktienkursentwiklung sowie Dividendenauszahlung ab.</t>
  </si>
  <si>
    <t>Patientenzufriedenheit /
„Medizinische Qualität‘‘</t>
  </si>
  <si>
    <t>STI Berechnung:  Finanzielle Erfolgsziele: 65 % Ergebnis  (vor Sondereinflüssen), 20 % Umsatz Nichtfinanzielle Erfolgsziele: 15 % ESG  Die nichtfinanziellen Erfolgsziele beziehen sich auf ESG-Fokusthemen wie Qualität, Mitarbeiter, Innovation, Compliance und Umwelt. Dabei werden jährlich einzelne oder mehrere ESG-Ziele definiert. Dieses Jahr die zwei gleichgewichteten Ziele Mitarbeiterzufriedenheit und Medizinische Qualität</t>
  </si>
  <si>
    <t>nicht angegeben</t>
  </si>
  <si>
    <t>LTI Beechnung: Finanzielle Erfolgsziele: 50 % Relativer TSR  25 % Relativer ROIC Nichtfinanzielle Erfolgsziele: 25 % ESG . Für das für die Tranche 2024 als ESG-Ziel festgelegte
Erfolgsziel ist CO2-Reduktion.</t>
  </si>
  <si>
    <t>Fresenius Medical Care AG</t>
  </si>
  <si>
    <t>Patientenzufriedenheit</t>
  </si>
  <si>
    <t>STI besteht aus 20% Unsatzerlöse, 40% operatives Ergebnis, 20% Konzernergebnis und 20% Nahhaltigkeit. Das Nachhaltigkeitsziel (das sich auch aus verschiedenen Teilzielen zusammensetzen kann) spiegelt das Engagement und die Strategie von Fresenius Medical Care im Hinblick auf Umwelt-, Sozial- und Governance-Aspekte wider. Dieses Jahr Patientenzufriedenheit und Mitarbeiterzufriedenheit zu gleichen Teilen. (S)</t>
  </si>
  <si>
    <t>LTI stellt sich zusmammen aus 40% Rentabilität, 40% relativer TSR und 20% Nachhaltigkeit. Als Nachhaltigkeitsziel wurde die Reduktion der marktbasierten CO2-Emissionen festgelegt.</t>
  </si>
  <si>
    <t>Engagement Score</t>
  </si>
  <si>
    <t>STI berechnet sich aus Konzern RoE und einem Individueller Zu- bzw. Abschlag. Die Festlegung der Höhe des Zu- bzw. Abschlags kann sich in einer Bandbreite von -25 Prozentpunkten bis +25 Prozentpunkten bewegen. Dieser beinhaltet beim CEO 2 ESG Ziele. Engagement Score ⁴ (jährliche
Mitarbeiterumfrage) über Peer Niveau(Benchmark für Finanzdienstleistungen)  (S) und Weiterentwicklung und Umsetzung der Nachhaltigkeitsstrategie zur Positionierung der Hannover Rück als nachhaltiger Konzern in den Dimensionen Versicherungstechnik, Kapitalanlagen und Reduktion der Emissionen. Das zweite Ziel würde ich als allgemein ESG einordnen.  Insgesamt führte es zu einem Aufschlag von 5 Punkten</t>
  </si>
  <si>
    <t>Der LTI Zuteilungswert basiert auf den STI, somit werden die ESG Ziele aus den STI nochmal verwendet. Dies habe ich nicht nochmal aufgezählt. Außerdem wird der Aktienkurs betrachtet.</t>
  </si>
  <si>
    <t>100; 25</t>
  </si>
  <si>
    <t>Steigerung nachhaltiger Umsätze; Projektabschluss Brevik und Kommerzialisierung nachhaltiger Produkte</t>
  </si>
  <si>
    <t>Health &amp; Safety</t>
  </si>
  <si>
    <t>STI besteht aus 50% group performance: Jahresüberschuss x  CO2–Komponente und aus 50% aus nachhaltigen Strategiezielen: Health &amp; Safety + Free Cashflow + Nachhaltige Umsätze + Individuelles Ziel.Der CEO hat 2 individuelle Ziehle, von denen eins ESG ist, genauer gesagt E</t>
  </si>
  <si>
    <t>LTI aus 25% EBIT, 25% ROIC, 25% relativer TSR und 25% ESG Ziele. Außerdem fileßt de Aktienkurentwicklung mit ein und die Tranche läuft über 4 Jahre. Für die Tranche 2024 des Langfristbonus hat der Aufsichtsrat Ziele zur Reduktion der spezifischen CO2-Emissionen pro Tonne Zement über die dreijährige Performance-Periode des Langfristbonus mit den Vorstandsmitgliedern vereinbart. Die spezifischenCO2-Emissionen pro Tonne Zement werden dabei analog der in Abschnitt „CO2-Komponente“ be-schriebenen internen Logik gemessen, die auch für die Messung der Zielerreichung im Jahresbonus gilt.</t>
  </si>
  <si>
    <t>Vorantreiben der kulturellen Transformation, „Collaborate as Strong Teams“; Vorantreiben Diversity, Equity &amp; Inclusion Parity [Vielfalt, Chancengleichheit &amp; Inklusion]</t>
  </si>
  <si>
    <t>Weiterentwicklung der Governance von Henkel</t>
  </si>
  <si>
    <t>je 50%: organisches Umsatzwachstum; EPS dann mit indv. Perfomance Faktor verrechnet. indv. Ziele:  -Absolute und relative Performance des verantworteten
Unternehmensbereichs im Vergleich zum Markt/Wettbewerb, Persönlicher Beitrag zur Umsetzung strategischen Prioritäten, Erfüllung individuell vereinbarter Sonderziele (Fokusthemen)
in den Fokusthemen sind 2 von 5 Zielen ESG (Weiterentwicklung der Governance von Henkel, Vorantreiben der kulturellen Transformation, „Collaborate as Strong Teams“; Vorantreiben Diversity, Equity &amp; Inclusion Parity [Vielfalt, Chancengleichheit &amp; Inklusion], sprich G und S</t>
  </si>
  <si>
    <t>die Erhöhung des Anteils von recyceltem
Kunststoff bei allen Verpackungen unserer Konsumgüterprodukte,</t>
  </si>
  <si>
    <t>Erzielung signifikanter Fortschritte auf dem Weg zu Henkels Ziel der Geschlechterparität („Gender Parity
Ambition“) für 2025 (auf allen Management-(MC)-Ebenen)</t>
  </si>
  <si>
    <t>60% bereinigter ROCE; 20% TSR; 20% ESG (CO2 emmisionen (E), recycelter Kunststoff (E), Gender Parity Ambition 2025 (S,G)</t>
  </si>
  <si>
    <t xml:space="preserve">Leistungskriterien
- 1/3 Return on Capital Employed (RoCE) wie geplant
- 1/3 Free-Cash-Flow wie geplant
- 1/3 Segmentergebnis-Marge wie geplant
Modifier (0,7 bis 1,3)
- Außergewöhnliche Entwicklungen -&gt; 2024 nicht angewant </t>
  </si>
  <si>
    <t>Frauenanteil in Führungspostionen (Diversität)</t>
  </si>
  <si>
    <t>Frauenanteil in Führungspostionen</t>
  </si>
  <si>
    <t>Vierjährige Perfomanceperiode. Die Leistungsmessung erfolgt während der Performanceperiode über das finanzielle Leistungskriterium der relativen Gesamtkapitalrendite (relativer Total Shareholder Return, TSR) im Vergleich zu einer ausgewählten Vergleichsgruppe von Unternehmen der Branche und dem nichtfinanziellen Leistungskriterium, das sich aus strategie- abgeleiteten ESG-Zielen (Environmental, Social &amp; Governance beziehungsweise Umwelt, Soziales und Governance) zusammensetzt. Dabei fließen der TSR zu 70 – 80 Prozent und die ESG-Ziele zu 20 – 30 Prozent in die Gesamtzielerreichung ein. Dieses Jahr ESG 20% sprich TSR 80%. dieses Jahr 2 ESG Ziehle, ein E und ein S (CO2, Diversität -&gt; Haupsächlich Frauen in Führungspositionen)</t>
  </si>
  <si>
    <t>75; 100</t>
  </si>
  <si>
    <t xml:space="preserve"> Kundenzufriedenheit; Sicherheitsinnovationen</t>
  </si>
  <si>
    <t xml:space="preserve"> Integretät</t>
  </si>
  <si>
    <t>Zielerreichungsgrad wird von Finanziellen Zielen (EBIT und FCF, je 50%) bestimmt, und dann von nichtfinanziellen Zielen (+/- 10%) und Transformationszeilen (+/- 25%) erhöht bzw. verkleinert.
Dabei gibt es auch ein allgemeines ESG Ziel unter den Transformationszielen: Stakeholderbeziehungen. Diese werden wie folgt beschrieben: Was die Stakeholderbeziehung betrifft, so wurden die
Nachhaltigkeitsdialoge am Hauptsitz und in den relevanten Märkten unter Beteiligung interner und Vergütungsbericht 2024 | Mercedes-Benz Group 21 externer Experten und Stakeholder in die Bewertung
einbezogen. Darüber hinaus wurden die Aktualisierung des Climate Policy Report der Mercedes-Benz Group AG und die Ausweitung der Kommunikation in Bezug auf Nachhaltigkeit berücksichtigt.</t>
  </si>
  <si>
    <t>Anteil PHEV/BV am Absatz; Überprüfung hochriskante Produktionsstoffe</t>
  </si>
  <si>
    <t>6,66; 6,66</t>
  </si>
  <si>
    <t>Diversität</t>
  </si>
  <si>
    <t>40%: Umsatzrendite
40%: Relative Aktien-Perfomance
20% ESG-Leistungskriterien: für 2024: Anteil PHEV/BV am Absatz, Überprüfung hochriskante Produktionsstoffe, Diversität</t>
  </si>
  <si>
    <t>neue Schwerpunkte im Wasser- und Abfallmanagement gesetzt</t>
  </si>
  <si>
    <t xml:space="preserve">Leistungskennzahl: Dreijahresdurchschnitt des Ergebnisses nach Steuern des E.-Merck-Konzerns. Vom ergebnis wird dan je nach Management Psoition ein promillsatz ausgezahlt. 
Berücksichtigung der individuellen Leistung und des individuellen Beitrags zur Erreichung der Nachhaltigkeitsziele gemäß den Kriterien des Leistungskatalogs durch Anpassungsfaktor mit einer Spannbreite von 0,8 bis 1,2. Dieser nicht genau erkärt, zu nachaltigeit wird nur gesagt: Im Bereich Nachhaltigkeit wurden Treibhausgasemissionen erfolgreich reduziert, neue Schwerpunkte im Wasser- und Abfallmanagement gesetzt und weitere Nachhaltigkeitsziele erreicht. Dabei hab ich weitere Nachhaltigkeitsziele alls allgemeines Ziel eingeordnet. Allerdings wird die genaue Berechnung des Performance-Faktors nicht erklärt
                                     </t>
  </si>
  <si>
    <t>Nachhaltigen Geschäftserfolg gemeinsam erzielen:  Anteil relevanter Lieferanten (in Bezug auf Anzahl und Beschaffungsausgaben), die von einer gültigen Nachhaltigkeitsbewertung abgedeckt sind</t>
  </si>
  <si>
    <t>Fortschritt für Menschen schaffen: Menschen, die mit unseren Healthcare-Produkten (einschließlich Bilharziose- Bekämpfungsprogramm) und mit Pharmaprodukten, die von Life Science ermöglicht wurden, behandelt werden</t>
  </si>
  <si>
    <t>Finanzielle Ziele (Perfomance gegenüber DAX 50%, EBITDA 25%, Umsatzwachstum 25%) werden mit Nachhaltigkeitsfaktor verrechnet. 
Nachhaltigkeitsfaktor mit einer Spannbreite von 0,8 bis 1,2 auf Basis der Nachhaltigkeitsziele „Fortschritt für Menschen schaffen“, „Nachhaltigen Geschäftserfolg gemeinsam erzielen“ und „Unseren ökologischen Fußabdruck reduzieren“</t>
  </si>
  <si>
    <t>Bildungstage je Mitarbeiter</t>
  </si>
  <si>
    <t>STI: 50% EBIT, 30% FCF, 20% ESG (jeweils ein E und ein S)
+ für das jeweilige Geshäftsjahr definierten Kriterien des Strategischen Multiplikators (dieses Jahr keine ESG Kriterien im Multiplikator, Enticklung von flying Fuel Cell könnte man als ESG werten, habe ich jetzt aber nicht)</t>
  </si>
  <si>
    <t>4 jährige Performance Periode, 40% rTSR, 40% EPS, 20% ESG Ziele + Aktienkursentwicklung</t>
  </si>
  <si>
    <t xml:space="preserve">Zugang zu medizinischer Versorgung &amp; Gesundheitsmaßnahmen; Weiterbildungskosten und -tage; Krankenquote; Diversity </t>
  </si>
  <si>
    <t>Führungsqualität; Angemessene Einrichtung der Governance-Funktionen; Cybersicherheit</t>
  </si>
  <si>
    <t>Die Geschäftsstrategie der Münchener-Rück-Gruppe („Munich Re“) ist auf profitables Wachstum und eine erfolgreiche Positionierung im Wettbewerb ausgerichtet. Das IFRSKonzernergebnis als etabliertes Ergebnisaggregat und relevante Messgröße für den
Kapitalmarkt trägt im Rahmen der einjährigen variablen Vergütungskomponente der Bedeutung einer hohen und stabilen Ergebniskraft Rechnung. Der Zielwert für das IFRSKonzernergebnis
folgt der jährlichen Planung, die die strategische Ambition widerspiegelt. Außerdem gibt es Bis zu 10 %-Punkte Zu-/Abschlag auf Basis ESG-Kriterien und Bis zu 10 %-Punkte Zu-/Abschlag auf Basis folgender Erfolgs- und Leistungskriterien.</t>
  </si>
  <si>
    <t>100; 20</t>
  </si>
  <si>
    <t>;5</t>
  </si>
  <si>
    <t>Führungsqualität; Angemessene Einrichtung der Governance-Funktionen; Cybersicherheit; Ausbau der eigenen Cybersicherheit und Einhalten der diesbezüglichen regu-
latorischen Anforderungen</t>
  </si>
  <si>
    <t>;15</t>
  </si>
  <si>
    <t>Der Mehrjahresbonus stellt zu 80 % auf die relative TSR-Entwicklung und zu 20 % auf ein
oder mehrere Nachhaltigkeitsziele ab. Außerdem gibt es Bis zu 10 %-Punkte Zu-/Abschlag auf Basis ESG-Kriterien und Bis zu 10 %-Punkte Zu-/Abschlag auf Basis folgender Erfolgs- und Leistungskriterien (gleich wie bei STI).</t>
  </si>
  <si>
    <t>Geschlechterquote; Customer Excitment Index</t>
  </si>
  <si>
    <t>Frauenquote Betriebsebene</t>
  </si>
  <si>
    <t>Operative Umsatzrendite (ROS) des Porsche AG Konzerns (50 %), Netto-Cashflow-Marge (NCFM)Porsche AG Segment Automobile (50 %), ESG-Ziele  (Multiplikator 0,63 – 1,43). Der ESG multiplikator besteht nochmals aus einem E S Multiplikator und einem G Multplikator</t>
  </si>
  <si>
    <t>Ab 23: keine ESG-Bestandteile, richtet sich  an der Ziehlerreichung der EPS der Porsche-Vorzugsaktie und an dem Aktienkurs+DIvidenden.</t>
  </si>
  <si>
    <t xml:space="preserve">Mitarbeiterentwicklung, </t>
  </si>
  <si>
    <t>Managemententwicklung im Rahmen der Nachfolgeplanung</t>
  </si>
  <si>
    <t>STI und LTI sind gleich aufgebaut. Es gibt für den CEO die ESG Ziele Mitarbeiterentwicklung und NAchfolgeplanung (beide 20%). Die Multiplikatoren sind nicht zum Einsatz (relevant) gekommen, deshgalb hab ich sie auch nicht erwähnt</t>
  </si>
  <si>
    <t>Mitarbeiterentwicklung </t>
  </si>
  <si>
    <t>STI und LTI sind gleich aufgebaut. Habe mich hier auf die LTI 2021 bezogen, da nur diese erklärt wurde. Die Faktoren wurden nicht relevant eingesetzt . CEO hat 2023 keine LTI-Auszahlung bekommen, deswegen erdiente Vergütung des CEO</t>
  </si>
  <si>
    <t>60% EBIT, 20% OFCF, 20% ESG, 2 ESG Ziehle, 1 E und 1 C</t>
  </si>
  <si>
    <t>Sicherheits am Arbeitsplatz/ Gesundheit: Jährliche Reduktion der "Lost Time Incident Rate" (LTIR)</t>
  </si>
  <si>
    <t>vierjährige Performanceperiode. 40% TSR, 40% ROCE, 20% ESG</t>
  </si>
  <si>
    <t>Aufrechterhaltung des hohen Arbeitssicherheitsstandards / Unfallhäufigkeit</t>
  </si>
  <si>
    <t>dreijährige Performance Periode, je 1/3: TSR; Bereinigtes Nettoergebnis; CO2-Intensität</t>
  </si>
  <si>
    <t>Kunden-Net-Promoter-Score</t>
  </si>
  <si>
    <t>Zuteilungssbetrag wird mit individuellem performance faktor multipliziert und dann 80% im ersten Jahr und jeweils 10% im 2 und 3 jahr ausgezahlt. Dabei ist der endgültige STI-Auszahlungsbetrag ist abhängig von der Zielerreichung bezogen auf bestimmte
finanzielle und nichtfinanzielle KPIs. Die KPIs und ihre Gewichtung sind dabei wie folgt: 25% wachstum operative Marge, 30% Cloud backlog, 25% Wachstum Cloud, 10% Net Promoter Score, 10% Mitarbeiterengagement Index</t>
  </si>
  <si>
    <t>Der Zuteilungsbetrag besteht aus 3 Zielen, wobei hjedes ziel wiederum mit dem Performance-Faktor multipliziert wird (0-1,5): 50 % Finanzielle Ziele, 30 % Marktziele und 20 % ESG-Ziele (10% netto null bis 2030 und Frauenanteil). Diese Performance wird über eine Periode von drei Jahren gemessen. Danach gibt es noch eine Haltefrist</t>
  </si>
  <si>
    <t>Umsatz 40%, Underlying EBITDA 40%, dynamischer Verschuldungsgrad 10%, Employee Net Promoter score 10%</t>
  </si>
  <si>
    <t>nicht angegebenen/nicht vorliegend</t>
  </si>
  <si>
    <t>Jahresüberschuss 25%, Reduktion CO2 25%, Phantom stocks 50%. Einmalzuteilungen von Aktien geben, z.B. bei der Vertragsverlängerung des CEO</t>
  </si>
  <si>
    <t>Verankerung von Nachhaltigkeit in allen Produktlebenszyklusmanagementsystemen (PLM) und Beschleunigung der Umwelt- Produktdeklaration (EPD)</t>
  </si>
  <si>
    <t xml:space="preserve">EPS pre PPA 33,33%, angepasster ROCE 33,33%, 33,34% Individuelle Ziele: vier gleichgewichtete Leistungskriterien. Leistungskriterien der Individuellen Ziele: Cash Conversion Rate (CCR) des Verantwortungsbereichs, Vergleichbares Wachstum der Umsatzerlöse des Verantwortungsbereichs, Umsetzung der Unternehmensstrategie, Nachhaltigkeit
</t>
  </si>
  <si>
    <t>Digitale Lernstunden pro Mitarbeiter</t>
  </si>
  <si>
    <t>Performance-orientierter Plan, der nach Ablauf einer rund 4-jährigen Sperrfrist durch
Übertragung von Siemens-Aktien erfüllt wird. Zwei Leistungskriterien:
 Langfristige Wertsteigerung gemessen an der Entwicklung der Aktienrendite (Total Shareholder Return, TSR) im Vergleich zu internationalem Branchenindex (Gewichtung: zwischen 70% und 80%),12-monatige Referenz- und 36-monatige Performance-Periode, Performance gegenüber Branchenindex –/+ 20 Prozentpunkte
Nachhaltigkeit gemessen am Siemens ESG-/Nachhaltigkeitsindex mit einer oder mehreren gleichgewichteten Kennzahlen und geschäftsjahresbezogenen Zwischenzielen (Gewichtung: zwischen 20% und 30%)                                                                                                                                                                   Anwendung im Geschäftsjahr 2024:  Leistungskriterien:Entwicklung Aktienrendite im Vergleich zum MSCI World Industrials Index(Gewichtung: 80%)Siemens ESG-/Nachhaltigkeitsindex: CO2-Emissionen und Digitale Lernstunden pro Mitarbeitenden (Gewichtung: 20%)</t>
  </si>
  <si>
    <t>Ergebnismarge vor Sondereffekten 1/3, Free Cashflow vor Steuern 1/3, Individuelle Ziele 1/3 . 2024 keinenn STI wegen Bundesbürgschaft</t>
  </si>
  <si>
    <t>40% TSR, 40% EPS, 20% ESG (Drei gleichgewichtete Kennzahlen der ESG-Komponente werden zu Beginn der Tranche festgelegt)
Dieses Jahr kein LTI wegen Bundesbürgschaften</t>
  </si>
  <si>
    <t>Zugang zur Gesundheitsversorgung, gemessen anhand des Wachstums der installierten Geräte in unterversorgten Ländern; Verbesserung der Gender Balance/ Frauenanteil</t>
  </si>
  <si>
    <t>8,33; 8,33</t>
  </si>
  <si>
    <t>Verbesserung der Gender Balance, gemessen anhand des Frauenanteils im Senior Management.</t>
  </si>
  <si>
    <t>75 % relative Aktienrendite (TSR) ggü. den zwei gleichgewichteten Indizes MSCI World Health Care und MSCI Europe Health Care Equipment &amp; Services
25 % Nachhaltigkeit gemessen an den drei gleichgewichteten ESG-Kennzahlen: 1. Zugang zur Gesundheitsversorgung 2. Reduktion der CO₂e-Emissionen 3. Verbesserung der Gender Balance 4j Periode</t>
  </si>
  <si>
    <t>Arbeitsunfälle</t>
  </si>
  <si>
    <t>STI: währungsbereinigte organische Netto-Umsatzwachstum (Gewichtung: 30 %), EBITDA-Marge (30%); BFCF in % vom Umsatz (20%); ESG insgesamt 20%, für den CEO sind ESG Ziele: Klimawandel/Reduzierung der absoluten Treibhausgas-
emissionen (Scope 3) um 3 % (10%) und Sicherheit/Kennzahl MAQ (Arbeitsunfälle (&gt;1 Arbeitstag) x 1 Mio./Arbeitsstunden) kleiner 2.2 (10%) (zweiteres individuell CEO)</t>
  </si>
  <si>
    <t>nicht angegeben/nicht vorliegend</t>
  </si>
  <si>
    <t>relativer TSR 40%, EPS 40%, ESG 20%, sowie Aktienkursentwicklung
ESG-Ziel für Tranche 24-27: Erhöhung der Öko-Effizienz der Treibhausgas-Emissionen
(Scope 1+2) um 6,6 %, bezogen auf die Wertschöpfung</t>
  </si>
  <si>
    <t>Diversity-Index (Frauenanteil)</t>
  </si>
  <si>
    <t>Diversity (Frauenanteil)</t>
  </si>
  <si>
    <t xml:space="preserve">Finanzielle Teilziehle: „Netto-Cashflow im Konzernbereich Automobile“ (50 %) sowie „Operative Umsatzrendite“ (50 %), ESG Faktor: Teilziele zu je 50 % „Umwelt“ (Dekarbonisierungsindex) und „Soziales“ (grundsätzlich Stimmungs- und Diversity-Index) sowie der zwischen 0,9 und 1,1 liegende liegende
„Governance-Faktor“ (Compliance &amp; Integrität, Regelwert 1,0). Aufgrund der entsprechenden Möglichkeit zieht der Aufsichtsrat für die Geschäftsjahre 2024 und 2025 ausschließlich den Diversity-Index heran; voraussichtlich ab dem
Geschäftsjahr 2026 wird der Aufsichtsrat auch wieder den Stimmungsindex heranziehen. Berechnung ESG-Faktor: (Teilzielerreichungsgrad „Umwelt“ x 50 % + Teilzielerreichungsgrad „Soziales“ x 50 %) x „Governance-Faktor“ (0,9 – 1,1)
</t>
  </si>
  <si>
    <t>4j Periode, es sind keine ESG-Ziele verankert, nur EPS und Aktienkurs werden betrachtet.</t>
  </si>
  <si>
    <t>STI besteht aus adjusted EBIT. Dies wird dann mit einem Persöhnlichen Leistungsfaktor multipliziert, welcher aber dieses Jahr kein ESG beinhaltet</t>
  </si>
  <si>
    <t>Anteil weiblicher Führungskräfte;  Customer Satisfaction Index; Barrierearme Modernisierung</t>
  </si>
  <si>
    <t>2,5;5;2,5</t>
  </si>
  <si>
    <t xml:space="preserve">Jährliche Leistungsbewertung anhand finanzieller LeistungskennzahlI. Bar ausgezahlte kurzfristige variable Vergütungskomponente mit der Verpflichtung 50 % der Nettoauszahlungen in Aktien der Gesellschaft mit einer Mindesthaltedauer von
einem Jahr zu investieren. Je nach Zielerreichung Auszahlung von 0–200 % des Zielwerts Leistungskriterien
beziehen sich auf den Umsatz der Zalando-Gruppe während eines Leistungszeitraums von einem Geschäftsjahr. </t>
  </si>
  <si>
    <t>Zur Ermittlung der endgültigen Anzahl der ausübbaren Optionen aus den im Berichtszeitraum zugeteilten Jahrestranchen des LTI 2024 wird zunächst die Zielerreichung der finanziellen Leistungsziele herangezogen. Dabei wird das GMV-Ziel mit 60 % und das Ziel für die bereinigte EBIT-Marge mit 40 % gewichtet. Im zweiten Schritt ist dann der ESG-Modifier zu berücksichtigen. Hierfür wurden ESG-Leistungsziele im Bereich Nachhaltigkeit und im Bereich Diversität und Inklusion (D&amp;I) festgelegt (jeweils mit 50 % gewichtet). Je nach Erreichung der ESG-Leistungsziele kann es zu einer positiven oder negativen Anpassung der finanziellen Zielerreichung um den Faktor 08 bis 12 kommen. Die Anzahl der ausübbaren Optionen unter dem LTI 2024 nach Ablauf der Wartefrist ergibt sich durch Multiplikation der ursprünglichen Anzahl zugeteilter LTI 2024-Aktien und LTI 2024-Optionen mit der Gesamt-Zielerreichung.</t>
  </si>
  <si>
    <t>LTI abhängige vom ZE des jährlichen Bonus -&gt;daraus und dem Zeilwet ergibt sich die Zuteilung virtueller Aktien, 4-jährige Aktienentwicklung und relativer Performance zu STOXX Europe 600 berechnet und dann mit einem Nachhaltigkeitsprüfungsfaktor (0-1) multipliziert. Gegenstand der Nachhaltigkeitsprüfung sind Compliance-Verstöße, Bilanzthemen wie Reservestärke, Solvabilität, Verschuldung und Ratings, sowie KPIs aus den individuellen Vorstandsielen wie dNPS, Mitarbeiterzufriedenheit und Klimaziele. Habe aber es aber über dem Oberpunkt Nachhaltigkeitsprüfung zusammengefasst (wie im letzten Jahr) und Als allgemeines ESG Ziel nicht einer Kategorie zuordbar</t>
  </si>
  <si>
    <t>Reibungsloses und effektives Übergangsmanagement in der CEO-Nachfolge ;</t>
  </si>
  <si>
    <t>LTI_cap_stock(%)</t>
  </si>
  <si>
    <t>200/250</t>
  </si>
  <si>
    <t xml:space="preserve"> den durchschnittlichen Primärenergiebedarf
der Neubauten,</t>
  </si>
  <si>
    <t xml:space="preserve">je 25%: TSR; NTA pro Aktie; adjusted EBT pro Aktie; sustainability performance index. Der SPI besteht aus 6 KPIs.
4j Periode, zusätzlich von Aktienkurentwicklung sowie Dividenden beeinflusst </t>
  </si>
  <si>
    <t>je 1/3 gewichtet: Bereinigtes unverwässertes Ergebnis je Aktie; vergleichbares Umsatzwachstum; 3 indv. Ziele, davon ein allgemeines ESG, im Falle des CEOs: Umsetzung weiterer Nachhaltigkeitsziele: Leitung der Umsetzung der Ambition „Sustainability Next Level“ und Sicherstellung der Einbindung in die Geschäftsziele und Prozesse. Da das ESg Ziel sehr allgemein ist habe ich es keinem E, S oder G zugeordnet und als allgemeines ESG Ziel gewertet</t>
  </si>
  <si>
    <t>Positionierung von RWE als Treiber der Energiewende;  Implementierung der Strategie und der Nachhaltigkeitsstrategie;Umsetzung des Wachstums- und Investitionsprogramms „Growing green  “ und aktives
Portfoliomanagement; Vollständige Vermeidung von schwerwiegenden umweltrelevanten Ereignissen</t>
  </si>
  <si>
    <t>Bereinigtes EBIT wird mit Multiplikator verrechnet. Multiplikator: die individuellen Ziele zu 30 %, die allgemeinen kollektiven Ziele des Gesamtvorstands zu 35 % und die kollektiven
Ziele auf dem Gebiet der CSR/ESG und Mitarbeitermotivation ebenfalls zu 35 % gewichtet. Alle Oberpunkte beiinhalten ESG, der letzte beinhaltet nur ESG. Integration internationaler Umwelt- und Sozialstandards in der Lieferkette nicht richtig E oder S zurodbar, deshalb allgemein ESG</t>
  </si>
  <si>
    <t>Managemententwicklung im Rahmen der Nachfolgeplanung </t>
  </si>
  <si>
    <t>Verbesserung Kundenzufriedenheit; Arbeitssicherheit</t>
  </si>
  <si>
    <t>Nachfolgeplanung/Personalentwicklung</t>
  </si>
  <si>
    <t>nicht vorhanden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</si>
</sst>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2"/>
      <color theme="1"/>
      <name val="Aptos Narrow"/>
      <family val="2"/>
      <scheme val="minor"/>
    </font>
    <font>
      <sz val="11"/>
      <color theme="1"/>
      <name val="Aptos Narrow"/>
      <family val="2"/>
      <scheme val="minor"/>
    </font>
    <font>
      <sz val="11"/>
      <color theme="1"/>
      <name val="Aptos Narrow"/>
      <family val="2"/>
      <scheme val="minor"/>
    </font>
    <font>
      <i/>
      <sz val="11"/>
      <color theme="1"/>
      <name val="Aptos Narrow"/>
      <family val="2"/>
      <scheme val="minor"/>
    </font>
    <font>
      <b/>
      <sz val="9"/>
      <color indexed="81"/>
      <name val="Segoe UI"/>
    </font>
    <font>
      <sz val="9"/>
      <color indexed="81"/>
      <name val="Segoe UI"/>
    </font>
    <font>
      <sz val="11"/>
      <color theme="1"/>
      <name val="Calibri"/>
      <family val="2"/>
    </font>
    <font>
      <sz val="11"/>
      <color rgb="FF000000"/>
      <name val="Aptos Narrow"/>
      <family val="2"/>
    </font>
    <font>
      <b/>
      <sz val="11"/>
      <color theme="1"/>
      <name val="Calibri"/>
      <family val="2"/>
    </font>
    <font>
      <i/>
      <sz val="9"/>
      <color theme="1"/>
      <name val="Aptos Narrow"/>
      <family val="2"/>
      <scheme val="minor"/>
    </font>
    <font>
      <b/>
      <sz val="9"/>
      <color rgb="FF000000"/>
      <name val="Segoe UI"/>
      <charset val="1"/>
    </font>
    <font>
      <sz val="9"/>
      <color rgb="FF000000"/>
      <name val="Segoe UI"/>
      <charset val="1"/>
    </font>
    <font>
      <sz val="9"/>
      <color rgb="FF000000"/>
      <name val="Segoe UI"/>
      <family val="2"/>
      <charset val="1"/>
    </font>
    <font>
      <sz val="9"/>
      <color rgb="FF000000"/>
      <name val="Tahoma"/>
      <family val="2"/>
    </font>
    <font>
      <b/>
      <sz val="9"/>
      <color rgb="FF000000"/>
      <name val="Segoe UI"/>
      <family val="2"/>
      <charset val="1"/>
    </font>
    <font>
      <sz val="9"/>
      <color rgb="FF000000"/>
      <name val="Aptos Narrow"/>
      <scheme val="minor"/>
    </font>
    <font>
      <sz val="11"/>
      <color rgb="FF000000"/>
      <name val="Aptos Narrow"/>
    </font>
    <font>
      <sz val="9"/>
      <color rgb="FF000000"/>
      <name val="Aptos Narrow"/>
    </font>
    <font>
      <sz val="10"/>
      <color rgb="FF000000"/>
      <name val="Aptos Narrow"/>
    </font>
    <font>
      <sz val="11"/>
      <color rgb="FF000000"/>
      <name val="Aptos Narrow"/>
      <family val="2"/>
      <scheme val="minor"/>
    </font>
    <font>
      <sz val="10"/>
      <color rgb="FF000000"/>
      <name val="Aptos Narrow"/>
      <scheme val="minor"/>
    </font>
  </fonts>
  <fills count="15">
    <fill>
      <patternFill patternType="none"/>
    </fill>
    <fill>
      <patternFill patternType="gray125"/>
    </fill>
    <fill>
      <patternFill patternType="solid">
        <fgColor theme="0"/>
        <bgColor indexed="64"/>
      </patternFill>
    </fill>
    <fill>
      <patternFill patternType="solid">
        <fgColor theme="4" tint="0.79998168889431442"/>
        <bgColor rgb="FFE2EFD9"/>
      </patternFill>
    </fill>
    <fill>
      <patternFill patternType="solid">
        <fgColor theme="5" tint="0.79998168889431442"/>
        <bgColor rgb="FFE2EFD9"/>
      </patternFill>
    </fill>
    <fill>
      <patternFill patternType="solid">
        <fgColor theme="5" tint="0.79998168889431442"/>
        <bgColor rgb="FFFBE4D5"/>
      </patternFill>
    </fill>
    <fill>
      <patternFill patternType="solid">
        <fgColor rgb="FFFEF2CB"/>
        <bgColor rgb="FFFEF2CB"/>
      </patternFill>
    </fill>
    <fill>
      <patternFill patternType="solid">
        <fgColor rgb="FFE2EFD9"/>
        <bgColor rgb="FFE2EFD9"/>
      </patternFill>
    </fill>
    <fill>
      <patternFill patternType="solid">
        <fgColor theme="8" tint="0.79998168889431442"/>
        <bgColor rgb="FFE2EFD9"/>
      </patternFill>
    </fill>
    <fill>
      <patternFill patternType="solid">
        <fgColor theme="3" tint="0.59999389629810485"/>
        <bgColor rgb="FFE2EFD9"/>
      </patternFill>
    </fill>
    <fill>
      <patternFill patternType="solid">
        <fgColor rgb="FFFBE4D5"/>
        <bgColor rgb="FFFBE4D5"/>
      </patternFill>
    </fill>
    <fill>
      <patternFill patternType="solid">
        <fgColor rgb="FFD0CECE"/>
        <bgColor rgb="FFD0CECE"/>
      </patternFill>
    </fill>
    <fill>
      <patternFill patternType="solid">
        <fgColor rgb="FFFFFF00"/>
        <bgColor indexed="64"/>
      </patternFill>
    </fill>
    <fill>
      <patternFill patternType="solid">
        <fgColor rgb="FFFF0000"/>
        <bgColor indexed="64"/>
      </patternFill>
    </fill>
    <fill>
      <patternFill patternType="solid">
        <fgColor theme="0"/>
        <bgColor rgb="FFE2EFD9"/>
      </patternFill>
    </fill>
  </fills>
  <borders count="1">
    <border>
      <left/>
      <right/>
      <top/>
      <bottom/>
      <diagonal/>
    </border>
  </borders>
  <cellStyleXfs count="4">
    <xf numFmtId="0" fontId="0" fillId="0" borderId="0"/>
    <xf numFmtId="0" fontId="2" fillId="0" borderId="0"/>
    <xf numFmtId="9" fontId="2" fillId="0" borderId="0" applyFont="0" applyFill="0" applyBorder="0" applyAlignment="0" applyProtection="0"/>
    <xf numFmtId="0" fontId="2" fillId="0" borderId="0"/>
  </cellStyleXfs>
  <cellXfs count="40">
    <xf numFmtId="0" fontId="0" fillId="0" borderId="0" xfId="0"/>
    <xf numFmtId="0" fontId="2" fillId="0" borderId="0" xfId="1"/>
    <xf numFmtId="0" fontId="2" fillId="0" borderId="0" xfId="1" applyAlignment="1">
      <alignment vertical="top"/>
    </xf>
    <xf numFmtId="0" fontId="2" fillId="0" borderId="0" xfId="1" applyAlignment="1">
      <alignment horizontal="right" vertical="top"/>
    </xf>
    <xf numFmtId="0" fontId="6" fillId="0" borderId="0" xfId="1" applyFont="1" applyAlignment="1">
      <alignment vertical="top"/>
    </xf>
    <xf numFmtId="0" fontId="6" fillId="3" borderId="0" xfId="3" applyFont="1" applyFill="1" applyAlignment="1">
      <alignment vertical="top"/>
    </xf>
    <xf numFmtId="0" fontId="6" fillId="4" borderId="0" xfId="3" applyFont="1" applyFill="1" applyAlignment="1">
      <alignment vertical="top"/>
    </xf>
    <xf numFmtId="0" fontId="8" fillId="4" borderId="0" xfId="3" applyFont="1" applyFill="1" applyAlignment="1">
      <alignment vertical="top"/>
    </xf>
    <xf numFmtId="0" fontId="6" fillId="5" borderId="0" xfId="3" applyFont="1" applyFill="1" applyAlignment="1">
      <alignment vertical="top"/>
    </xf>
    <xf numFmtId="0" fontId="6" fillId="6" borderId="0" xfId="3" applyFont="1" applyFill="1" applyAlignment="1">
      <alignment vertical="top"/>
    </xf>
    <xf numFmtId="0" fontId="6" fillId="7" borderId="0" xfId="3" applyFont="1" applyFill="1" applyAlignment="1">
      <alignment vertical="top"/>
    </xf>
    <xf numFmtId="0" fontId="6" fillId="8" borderId="0" xfId="3" applyFont="1" applyFill="1" applyAlignment="1">
      <alignment vertical="top"/>
    </xf>
    <xf numFmtId="0" fontId="6" fillId="9" borderId="0" xfId="3" applyFont="1" applyFill="1" applyAlignment="1">
      <alignment vertical="top"/>
    </xf>
    <xf numFmtId="0" fontId="6" fillId="10" borderId="0" xfId="3" applyFont="1" applyFill="1" applyAlignment="1">
      <alignment vertical="top"/>
    </xf>
    <xf numFmtId="0" fontId="6" fillId="11" borderId="0" xfId="3" applyFont="1" applyFill="1" applyAlignment="1">
      <alignment vertical="top"/>
    </xf>
    <xf numFmtId="0" fontId="9" fillId="0" borderId="0" xfId="1" applyFont="1"/>
    <xf numFmtId="0" fontId="3" fillId="0" borderId="0" xfId="1" applyFont="1"/>
    <xf numFmtId="0" fontId="2" fillId="13" borderId="0" xfId="1" applyFill="1" applyAlignment="1">
      <alignment vertical="top"/>
    </xf>
    <xf numFmtId="0" fontId="2" fillId="12" borderId="0" xfId="1" applyFill="1" applyAlignment="1">
      <alignment vertical="top"/>
    </xf>
    <xf numFmtId="0" fontId="2" fillId="12" borderId="0" xfId="1" applyFill="1" applyAlignment="1">
      <alignment vertical="top" wrapText="1"/>
    </xf>
    <xf numFmtId="0" fontId="2" fillId="13" borderId="0" xfId="1" applyFill="1" applyAlignment="1">
      <alignment horizontal="right"/>
    </xf>
    <xf numFmtId="0" fontId="6" fillId="13" borderId="0" xfId="1" applyFont="1" applyFill="1" applyAlignment="1">
      <alignment vertical="top"/>
    </xf>
    <xf numFmtId="0" fontId="2" fillId="13" borderId="0" xfId="1" applyFill="1" applyAlignment="1">
      <alignment horizontal="right" vertical="top"/>
    </xf>
    <xf numFmtId="0" fontId="16" fillId="12" borderId="0" xfId="0" applyFont="1" applyFill="1" applyAlignment="1">
      <alignment vertical="top"/>
    </xf>
    <xf numFmtId="0" fontId="2" fillId="13" borderId="0" xfId="1" applyFill="1" applyAlignment="1">
      <alignment vertical="top" wrapText="1"/>
    </xf>
    <xf numFmtId="0" fontId="2" fillId="2" borderId="0" xfId="1" applyFill="1"/>
    <xf numFmtId="0" fontId="9" fillId="2" borderId="0" xfId="1" applyFont="1" applyFill="1"/>
    <xf numFmtId="0" fontId="6" fillId="14" borderId="0" xfId="3" applyFont="1" applyFill="1" applyAlignment="1">
      <alignment vertical="top"/>
    </xf>
    <xf numFmtId="0" fontId="2" fillId="2" borderId="0" xfId="1" applyFill="1" applyAlignment="1">
      <alignment vertical="top"/>
    </xf>
    <xf numFmtId="9" fontId="2" fillId="0" borderId="0" xfId="1" applyNumberFormat="1" applyAlignment="1">
      <alignment vertical="top"/>
    </xf>
    <xf numFmtId="0" fontId="2" fillId="0" borderId="0" xfId="1" applyAlignment="1">
      <alignment vertical="top" wrapText="1"/>
    </xf>
    <xf numFmtId="0" fontId="19" fillId="0" borderId="0" xfId="0" applyFont="1" applyAlignment="1">
      <alignment vertical="top"/>
    </xf>
    <xf numFmtId="0" fontId="2" fillId="0" borderId="0" xfId="1" applyAlignment="1">
      <alignment horizontal="right"/>
    </xf>
    <xf numFmtId="2" fontId="2" fillId="0" borderId="0" xfId="1" applyNumberFormat="1" applyAlignment="1">
      <alignment vertical="top"/>
    </xf>
    <xf numFmtId="0" fontId="2" fillId="0" borderId="0" xfId="1" applyAlignment="1">
      <alignment horizontal="right" wrapText="1"/>
    </xf>
    <xf numFmtId="0" fontId="0" fillId="0" borderId="0" xfId="0" applyAlignment="1">
      <alignment vertical="top"/>
    </xf>
    <xf numFmtId="2" fontId="0" fillId="0" borderId="0" xfId="2" applyNumberFormat="1" applyFont="1" applyFill="1" applyAlignment="1">
      <alignment vertical="top"/>
    </xf>
    <xf numFmtId="0" fontId="6" fillId="0" borderId="0" xfId="1" applyFont="1"/>
    <xf numFmtId="164" fontId="2" fillId="0" borderId="0" xfId="1" applyNumberFormat="1" applyAlignment="1">
      <alignment horizontal="right" vertical="top"/>
    </xf>
    <xf numFmtId="0" fontId="1" fillId="12" borderId="0" xfId="1" applyFont="1" applyFill="1" applyAlignment="1">
      <alignment vertical="top"/>
    </xf>
  </cellXfs>
  <cellStyles count="4">
    <cellStyle name="Normal 2" xfId="1" xr:uid="{E2ADFBBC-739F-8540-8E00-D473DE51ACEF}"/>
    <cellStyle name="Per cent 2" xfId="2" xr:uid="{8CA5873D-C101-FF4F-9F83-BDEB4D8A7B01}"/>
    <cellStyle name="Standard" xfId="0" builtinId="0"/>
    <cellStyle name="Standard 2 2" xfId="3" xr:uid="{C6EBE5C2-C5E9-FE4C-A70F-2786954F44D6}"/>
  </cellStyles>
  <dxfs count="55">
    <dxf>
      <alignment horizontal="general" vertical="top" textRotation="0" wrapText="0" indent="0" justifyLastLine="0" shrinkToFit="0" readingOrder="0"/>
    </dxf>
    <dxf>
      <fill>
        <patternFill>
          <bgColor theme="0"/>
        </patternFill>
      </fill>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i val="0"/>
      </font>
      <alignment horizontal="general" vertical="top" textRotation="0" wrapText="0" indent="0" justifyLastLine="0" shrinkToFit="0" readingOrder="0"/>
    </dxf>
    <dxf>
      <alignment horizontal="general" vertical="top" textRotation="0" wrapText="0" indent="0" justifyLastLine="0" shrinkToFit="0" readingOrder="0"/>
    </dxf>
    <dxf>
      <font>
        <i val="0"/>
      </font>
      <alignment horizontal="right"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rgb="FFE2EFD9"/>
          <bgColor theme="2" tint="-9.9978637043366805E-2"/>
        </patternFill>
      </fill>
      <alignment horizontal="general" vertical="top" textRotation="0" wrapText="0" indent="0" justifyLastLine="0" shrinkToFit="0" readingOrder="0"/>
    </dxf>
  </dxfs>
  <tableStyles count="1" defaultTableStyle="TableStyleMedium2" defaultPivotStyle="PivotStyleLight16">
    <tableStyle name="Invisible" pivot="0" table="0" count="0" xr9:uid="{7285BA22-32A3-474A-AEA8-C8DDFF2F7EC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hilipp Pauli" id="{5F9ACD6B-4405-B442-B690-FF297DA4C0FB}" userId="S::ge63diw@tum.de::452e9309-1094-4812-b267-ff04a848e26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77EDA2-C4C5-A54B-AA46-149E0CE58C3E}" name="Table375" displayName="Table375" ref="A3:BA43" totalsRowShown="0" headerRowDxfId="54" dataDxfId="53" headerRowCellStyle="Standard 2 2">
  <autoFilter ref="A3:BA43" xr:uid="{C5BD9ED3-D0E0-4E45-B8ED-0EB93518A6A1}"/>
  <sortState xmlns:xlrd2="http://schemas.microsoft.com/office/spreadsheetml/2017/richdata2" ref="A4:BA43">
    <sortCondition ref="A3:A43"/>
  </sortState>
  <tableColumns count="53">
    <tableColumn id="1" xr3:uid="{A8D13DAB-1F00-4FBC-9B15-5719F8BEC24E}" name="cnameshort" dataDxfId="52"/>
    <tableColumn id="2" xr3:uid="{78AA583F-C22A-469D-94E2-958604C6EC01}" name="cindex" dataDxfId="51"/>
    <tableColumn id="3" xr3:uid="{924655A9-8E9E-4885-BFB6-81721B7A5344}" name="year" dataDxfId="50"/>
    <tableColumn id="6" xr3:uid="{AD0DF9CC-63A2-4334-B7BB-C8B91451ED07}" name="STI_share_of_total_compensation " dataDxfId="49"/>
    <tableColumn id="39" xr3:uid="{45DBBDA5-7C67-4523-A02C-B82DC4848BC3}" name="STI_count_of_total_ESG_KPI" dataDxfId="48"/>
    <tableColumn id="12" xr3:uid="{387EEC33-702F-4787-ABA8-C6F3E9D3FCDD}" name="STI_ESG_KPI_as_multiplier_or_KPI" dataDxfId="47"/>
    <tableColumn id="29" xr3:uid="{10EE8606-63A5-4709-8CD7-42FA3CAC9B5C}" name="STI_total_ESG_Share" dataDxfId="46"/>
    <tableColumn id="49" xr3:uid="{42C933B7-889E-4D19-9B20-A266585729FB}" name="STI_ESG_CEO_criteria_differ_from_restofBoard" dataDxfId="45"/>
    <tableColumn id="47" xr3:uid="{C79E26FD-6746-4E8A-AAD6-DE094F51EC5A}" name="STI_Zielerreichung" dataDxfId="44"/>
    <tableColumn id="4" xr3:uid="{1CDD86AC-C146-44A3-9411-9644F342D91C}" name="STI_E_KPI" dataDxfId="43"/>
    <tableColumn id="5" xr3:uid="{DF4140F7-490F-4442-B993-078E3A5FD7F1}" name="STI_E_KPI_Emission reduction" dataDxfId="42"/>
    <tableColumn id="31" xr3:uid="{D82ADBF6-3492-4BAF-9009-68319FF0163F}" name="STI_E_KPI_Emission reduction_Share" dataDxfId="41"/>
    <tableColumn id="28" xr3:uid="{02E41FD9-8AEA-4ECB-BD58-6243B43F4C25}" name="STI_E_KPI_other" dataDxfId="40"/>
    <tableColumn id="32" xr3:uid="{E3CDDB9C-D826-4977-BA83-108B0DCE9115}" name="STI_E_KPI_other_Share" dataDxfId="39"/>
    <tableColumn id="7" xr3:uid="{0F2D2634-3BB0-419C-AAEC-C35BAB4B02A3}" name="STI_S_KPI" dataDxfId="38"/>
    <tableColumn id="8" xr3:uid="{42B67257-FCFC-40F4-AA3C-8980F9FCD8E7}" name="STI_S_KPI_employee satisfaction" dataDxfId="37"/>
    <tableColumn id="35" xr3:uid="{0E255047-9AB7-48E8-9F28-9B6C57968C9F}" name="STI_S_KPI_employee satisfaction_Share" dataDxfId="36"/>
    <tableColumn id="34" xr3:uid="{DD0B467B-B438-49EB-87E8-05D8759F57EA}" name="STI_S_KPI_other" dataDxfId="35"/>
    <tableColumn id="33" xr3:uid="{CDF26E92-8CFB-411D-890C-08A56D8B7CC3}" name="STI_S_KPI_other_Share" dataDxfId="34"/>
    <tableColumn id="10" xr3:uid="{102F0040-B4AE-4200-8A6F-672ED23907DD}" name="STI_G_KPI" dataDxfId="33"/>
    <tableColumn id="11" xr3:uid="{60E1BE93-6359-42C3-BB07-A246A58ED32D}" name="STI_G_KPI_compliance" dataDxfId="32"/>
    <tableColumn id="38" xr3:uid="{1B358C3E-E8F5-442E-ADC9-50FBD588828F}" name="STI_G_KPI_compliance_Share" dataDxfId="31"/>
    <tableColumn id="37" xr3:uid="{81CFB72A-3DEE-4CAC-8E52-640E7D86F802}" name="STI_G_KPI_other" dataDxfId="30"/>
    <tableColumn id="36" xr3:uid="{C10A6749-4703-4B93-AECD-985C010BE4B3}" name="STI_G_KPI_other_Share" dataDxfId="29"/>
    <tableColumn id="14" xr3:uid="{D0A39ED8-613D-489E-B604-980A537B528F}" name="STI_cap (%)" dataDxfId="28"/>
    <tableColumn id="15" xr3:uid="{1DEEB8D0-530C-4EA1-A48D-EBD04C1AC99B}" name="ESG_in_STI_comment" dataDxfId="27"/>
    <tableColumn id="19" xr3:uid="{69BB4C4A-E7D6-45A3-BD43-C449AB443CBA}" name="MTI_share_of_total_compensation" dataDxfId="26"/>
    <tableColumn id="51" xr3:uid="{F794C9A3-EECD-4374-81AB-74C777B4FC83}" name="MTI_count_of_total_ESG_criteria" dataDxfId="25"/>
    <tableColumn id="52" xr3:uid="{EA856775-3ED9-41F8-A4DE-C13768172421}" name="MTI_ESG_KPI_as_multiplier_or_KPI" dataDxfId="24"/>
    <tableColumn id="9" xr3:uid="{131650E6-3D61-4954-B296-C56DC2EA2D11}" name="LTI_share_of_total_compensation" dataDxfId="23"/>
    <tableColumn id="41" xr3:uid="{6CBB2D62-9B3A-4864-A292-6E50894908B1}" name="LTI_count_of_total_ESG KPI" dataDxfId="22"/>
    <tableColumn id="13" xr3:uid="{A64CA6C0-054B-4FF7-89FD-0E9EE62D5EE2}" name="LTI_ESG_KPI_as_multiplier_or_KPI" dataDxfId="21"/>
    <tableColumn id="48" xr3:uid="{93A9C17B-5C22-4532-AA9C-7AA5248B5AB3}" name="LTI_total_ESG_Share" dataDxfId="20"/>
    <tableColumn id="50" xr3:uid="{FD3570C1-677F-4CE3-A908-87D01CE7BC69}" name="LTI_ESG_CEO_criteria_differ_from_restofBoard" dataDxfId="19"/>
    <tableColumn id="40" xr3:uid="{5605D086-1225-4587-8C59-B318EB8DABEF}" name="LTI_Zielerreichung" dataDxfId="18"/>
    <tableColumn id="16" xr3:uid="{30D843A9-EDD4-4D19-A4E8-5811A5E50695}" name="LTI_E_KPI" dataDxfId="17"/>
    <tableColumn id="30" xr3:uid="{D782DD11-3B91-4B4E-8DAC-9313BBF01C4D}" name="LTI_E_KPI_Emission reduction" dataDxfId="16"/>
    <tableColumn id="17" xr3:uid="{F16E2737-12B5-40F5-8824-7DCF262C5049}" name="LTI_E_KPI_Emission reduction_Share" dataDxfId="15"/>
    <tableColumn id="27" xr3:uid="{E5476F6F-7A6D-4A3E-B851-BC9BB4A5C05F}" name="LTI_E_KPI_other" dataDxfId="14"/>
    <tableColumn id="26" xr3:uid="{1367A790-6F04-4812-B0C1-6A4CC46B21B7}" name="LTI_E_KPI_other_Share" dataDxfId="13"/>
    <tableColumn id="25" xr3:uid="{BF012D02-AB57-43C8-A57B-59E8334CA460}" name="LTI_S_KPI" dataDxfId="12"/>
    <tableColumn id="24" xr3:uid="{F3819D17-EFE4-49CF-A437-AC6FAB9BC1DF}" name="LTI_S_KPI_employee satisfaction" dataDxfId="11"/>
    <tableColumn id="23" xr3:uid="{AAD95311-3E05-4704-88CF-8A03D61B2F96}" name="LTI_S_KPI_employee satisfaction_Share" dataDxfId="10"/>
    <tableColumn id="22" xr3:uid="{6AA55DF2-21FB-4949-A58E-8CF012C80812}" name="LTI_S_KPI_other" dataDxfId="9"/>
    <tableColumn id="21" xr3:uid="{9D833FCC-3675-4CB1-95A1-1232B4866905}" name="LTI_S_KPI_other_Share" dataDxfId="8"/>
    <tableColumn id="20" xr3:uid="{F0768DEF-2EE4-408A-A084-086CEE91E8E7}" name="LTI_G_KPI" dataDxfId="7"/>
    <tableColumn id="18" xr3:uid="{452654DE-328D-4127-B273-AB66DE590BBC}" name="LTI_G_KPI_compliance" dataDxfId="6"/>
    <tableColumn id="42" xr3:uid="{1AA827C9-593A-43E0-9575-CB0986C6E8FF}" name="LTI_G_KPI_compliance_Share" dataDxfId="5"/>
    <tableColumn id="43" xr3:uid="{D439E026-DB78-4826-99FE-39AD4E4DE6D2}" name="LTI_G_KPI_other" dataDxfId="4"/>
    <tableColumn id="44" xr3:uid="{6E3DCB1F-4C38-4661-9E08-7D85A892A62B}" name="LTI_G_KPI_other_Share" dataDxfId="3">
      <calculatedColumnFormula>33*0.25</calculatedColumnFormula>
    </tableColumn>
    <tableColumn id="45" xr3:uid="{C1FD720E-9C80-44CD-B2B5-36288F2039CD}" name="LTI_cap (%)" dataDxfId="2"/>
    <tableColumn id="53" xr3:uid="{EFB33562-C716-2344-9665-14D69461443E}" name="LTI_cap_stock(%)" dataDxfId="1" dataCellStyle="Normal 2"/>
    <tableColumn id="46" xr3:uid="{620B12EE-EDFB-4189-9156-2C2B6BC92417}" name="ESG_in_LTI_commen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4" dT="2025-05-12T16:31:01.01" personId="{5F9ACD6B-4405-B442-B690-FF297DA4C0FB}" id="{D5220FFE-F2D0-394F-B82C-A2B6A8A50A7C}">
    <text>CEO</text>
  </threadedComment>
  <threadedComment ref="G4" dT="2025-04-23T08:51:24.57" personId="{5F9ACD6B-4405-B442-B690-FF297DA4C0FB}" id="{E431D515-25B2-1544-A7E1-C1281906C927}">
    <text>STI besteht zu 20% aus nicht finanziellen Kriterien, Davon ist ein performance Kriterium von 3 ESG related</text>
  </threadedComment>
  <threadedComment ref="I4" dT="2025-04-23T08:52:05.81" personId="{5F9ACD6B-4405-B442-B690-FF297DA4C0FB}" id="{B2207B6C-3552-E84C-9A60-8C89BA272FAF}">
    <text>Alle non financial (nicht nur ESG) ZE: 100</text>
  </threadedComment>
  <threadedComment ref="W4" dT="2025-05-02T10:10:55.24" personId="{5F9ACD6B-4405-B442-B690-FF297DA4C0FB}" id="{8ECCA39D-C57A-524D-BF85-5563CDD15E8F}">
    <text>Kann man auch als nicht ESG relevant sehen, halte aber G Einordnung für richtig</text>
  </threadedComment>
  <threadedComment ref="AI4" dT="2025-04-23T09:25:17.15" personId="{5F9ACD6B-4405-B442-B690-FF297DA4C0FB}" id="{5EC59238-29AC-5740-AD24-BDD1B5EE451E}">
    <text xml:space="preserve">S.22, Kein LTI Betrag ausgezahlt, aber 2024 neue Tranche begonnen. (Dazu auch keine ZE angegeben, eventuell gab es in diesem Jahr keine LTI). </text>
  </threadedComment>
  <threadedComment ref="D5" dT="2025-04-08T18:56:15.61" personId="{5F9ACD6B-4405-B442-B690-FF297DA4C0FB}" id="{D58C7EFD-00B1-EA43-88C7-FB7533F73085}">
    <text xml:space="preserve">S. 234 STI target ist 100% of base salary which in turn is 1/3 of total comp
(Range from 0-100%)
But actual achievements of the CEO were above the target, also Zahl könnte auch 35,5% sein (nach wirklichen Zahlen und nicht Target). Aber 33,3% (Methodik von 2024 übernommen) </text>
  </threadedComment>
  <threadedComment ref="E5" dT="2025-04-08T19:26:32.04" personId="{5F9ACD6B-4405-B442-B690-FF297DA4C0FB}" id="{25F0928C-2A41-7145-971C-7D13CC40AABA}">
    <text>ESG KPIs sind CO2 + injury + CEO individual (Execution Digital &amp;
Decarbonisation
roadmap)</text>
  </threadedComment>
  <threadedComment ref="G5" dT="2025-04-10T16:06:58.71" personId="{5F9ACD6B-4405-B442-B690-FF297DA4C0FB}" id="{D3FA98E5-FAD5-434A-ACF3-CF278C756579}">
    <text xml:space="preserve">je 5% sind E und S zuzuordnen, (S. 50) 
2,5 sind Execution Digital &amp;
Decarbonisation
roadmap zuzuordnen, die Zahl habe ich aber durch zwei geteilt (Annäherung um digital auszuschließen)
</text>
  </threadedComment>
  <threadedComment ref="L5" dT="2025-04-15T08:20:47.65" personId="{5F9ACD6B-4405-B442-B690-FF297DA4C0FB}" id="{D8C74950-081F-2743-92A9-8961CD8C642E}">
    <text>S.48/S.50 
STI besteht zu 50% aus collective, von Collective insgesamt sind 20% Sustainability und davon die Hälfte CO2 -&gt; (50*0,2)/2</text>
  </threadedComment>
  <threadedComment ref="M5" dT="2025-04-15T08:18:22.54" personId="{5F9ACD6B-4405-B442-B690-FF297DA4C0FB}" id="{581E15AA-C373-2E44-BAA8-6B20B64D90DF}">
    <text>(wurde durch zwei geteilt um Digital auszuschließen aber nur Annäherung)</text>
  </threadedComment>
  <threadedComment ref="N5" dT="2025-04-15T08:21:31.72" personId="{5F9ACD6B-4405-B442-B690-FF297DA4C0FB}" id="{11BBB5FD-B35E-734E-B8A6-EE87927BA3A3}">
    <text>S.48 S.50 S.53
STI besteht zu 50% aus einem individual component, dieser besteht wiederum zu 5% aus einer Execution Digital&amp;
Decarbonisation
roadmap. Diese wurde nochmal durch zwei geteilt um Digital herauszurechnen</text>
  </threadedComment>
  <threadedComment ref="S5" dT="2025-04-15T08:23:24.91" personId="{5F9ACD6B-4405-B442-B690-FF297DA4C0FB}" id="{492A9628-74EC-DA45-8781-9394233BFF21}">
    <text>S.48/S.50 
STI besteht zu 50% aus collective, von Collective insgesamt sind 20% Sustainability und davon die Hälfte Arbeitsunfälle -&gt; (50*0,2)/2</text>
  </threadedComment>
  <threadedComment ref="E6" dT="2025-04-10T21:28:45.61" personId="{5F9ACD6B-4405-B442-B690-FF297DA4C0FB}" id="{C17C56F7-BF1D-584F-AB62-1615B97FC4AE}">
    <text xml:space="preserve">Nachhaltigkeit(etwa gemessen an der Treibhausgasreduktion),Kundenzufriedenheit, Mitarbeiterzufriedenheit, Führungsqualität
</text>
  </threadedComment>
  <threadedComment ref="I6" dT="2025-04-10T21:38:10.48" personId="{5F9ACD6B-4405-B442-B690-FF297DA4C0FB}" id="{0453E348-8E55-E944-A461-0BA5E041C1BD}">
    <text>S.100
Der Multiplikator, in welchem auch Eng Ziele enthalten sind lag für den CEO bei 1,17</text>
  </threadedComment>
  <threadedComment ref="AG6" dT="2025-04-10T22:01:11.22" personId="{5F9ACD6B-4405-B442-B690-FF297DA4C0FB}" id="{E17EB428-0142-614E-B8AA-8AF2D2CA2AB0}">
    <text xml:space="preserve">Wert wird am Schluss mit  Nachhaltigkeitwert (zwischen 0-100) multipliziert </text>
  </threadedComment>
  <threadedComment ref="AI6" dT="2025-05-12T17:11:46.65" personId="{5F9ACD6B-4405-B442-B690-FF297DA4C0FB}" id="{790806E4-CC8E-4E40-9FEE-CE3761DC281D}">
    <text>S.103</text>
  </threadedComment>
  <threadedComment ref="AI6" dT="2025-05-12T17:12:33.74" personId="{5F9ACD6B-4405-B442-B690-FF297DA4C0FB}" id="{3FB302CB-C49B-8C45-BA02-0B3ECEB60D68}" parentId="{790806E4-CC8E-4E40-9FEE-CE3761DC281D}">
    <text>Nachhaltigkeitsprüfung hat nichts geändert</text>
  </threadedComment>
  <threadedComment ref="I7" dT="2025-04-14T08:37:52.71" personId="{5F9ACD6B-4405-B442-B690-FF297DA4C0FB}" id="{609050E4-211F-C045-B026-FD9F7858EDB3}">
    <text>S.8
Mitarbeiterzufriedenheit ZE 80%, Arbeitssicherheit/Prozesssicherheit ZE 189,5</text>
  </threadedComment>
  <threadedComment ref="O7" dT="2025-04-14T08:42:15.04" personId="{5F9ACD6B-4405-B442-B690-FF297DA4C0FB}" id="{8E80F576-D6F5-FA41-989B-9BD9FC1F1571}">
    <text>Mitarbeiterengagement und Zufriedenheit + Arbeitssicherheit und Prozessicherheit</text>
  </threadedComment>
  <threadedComment ref="P7" dT="2025-04-23T13:31:51.89" personId="{5F9ACD6B-4405-B442-B690-FF297DA4C0FB}" id="{1BBDFC5A-8239-6F41-BE5A-15B09AF2C91A}">
    <text xml:space="preserve">Mitarbeiter Engagement und Zufriedenheit </text>
  </threadedComment>
  <threadedComment ref="Q7" dT="2025-04-14T08:45:03.12" personId="{5F9ACD6B-4405-B442-B690-FF297DA4C0FB}" id="{FC1BD0ED-26E1-2E45-8D11-563EF2E3F1C0}">
    <text>Eines von 3 gleich gleichgewichteten KPIs, welche den Punkt nicht finanzielle Ziele ausmachen, welcher mit 25% zu STI beiträgt, also 25*1/3 S.5, S.11</text>
  </threadedComment>
  <threadedComment ref="Q7" dT="2025-04-14T10:13:02.94" personId="{5F9ACD6B-4405-B442-B690-FF297DA4C0FB}" id="{B8CD1E05-3757-5B47-ADA5-12CEF3EDC901}" parentId="{FC1BD0ED-26E1-2E45-8D11-563EF2E3F1C0}">
    <text>Mitarbeiterzufriedenheit ZE: 80%,
Arbeitssicherheit ZE: 185,7%
Prozesssicherheit ZE: 193,3%
Sprich der Punkt Arbeit und Prozesssicherheit ZE: 189,5</text>
  </threadedComment>
  <threadedComment ref="S7" dT="2025-04-14T08:51:26.10" personId="{5F9ACD6B-4405-B442-B690-FF297DA4C0FB}" id="{A27FCBF2-F8DD-DD49-B9A0-5C23FAE23342}">
    <text>Gleich wie Zelle Q7, nur andere KPI</text>
  </threadedComment>
  <threadedComment ref="Z7" dT="2025-04-14T08:14:58.71" personId="{5F9ACD6B-4405-B442-B690-FF297DA4C0FB}" id="{52A95BED-3EF3-464B-9AAF-7D5B2F41B894}">
    <text>Siehe Seite 5</text>
  </threadedComment>
  <threadedComment ref="AD7" dT="2025-04-13T17:17:13.20" personId="{5F9ACD6B-4405-B442-B690-FF297DA4C0FB}" id="{A871795D-6142-5B4E-8BFD-CE064CC44E1D}">
    <text>Siehe STI und S.3</text>
  </threadedComment>
  <threadedComment ref="AL7" dT="2025-04-14T10:41:53.17" personId="{5F9ACD6B-4405-B442-B690-FF297DA4C0FB}" id="{C0738721-4B3A-E347-A512-0FB440AC5229}">
    <text>41% von der total comp ist LTI, davon sind 33% auf Nachhaltigkeit bezogen</text>
  </threadedComment>
  <threadedComment ref="D8" dT="2025-04-14T14:22:11.42" personId="{5F9ACD6B-4405-B442-B690-FF297DA4C0FB}" id="{F70C66F7-F1B1-1146-B9A5-1C65EA608F39}">
    <text>Mittel zwischen 20 und 30 (S.11)</text>
  </threadedComment>
  <threadedComment ref="O8" dT="2025-04-14T14:41:38.73" personId="{5F9ACD6B-4405-B442-B690-FF297DA4C0FB}" id="{AF892BFB-31A1-7547-B7A0-24F16EF0526E}">
    <text>Ziel an sich: Nachfolgeplanungs- und Karriereförde-
rungsprogramm etablieren, u. a. zur
Erhöhung der Diversität, aber in ZE nur Frauenanteil, deswegen nicht als Ziel NAchfolgeplanng. ZE: Er konnte gute Fortschritte in Bezug auf Gender Diversity
   erzielen (Steigerung des Frauenanteils unter den Top 500
   Führungskräften des Bayer Konzerns von 32 % auf 35 %).
Doppelt in G und S aufgeführt (siehe gelbe Markierung</text>
  </threadedComment>
  <threadedComment ref="S8" dT="2025-04-14T14:45:04.14" personId="{5F9ACD6B-4405-B442-B690-FF297DA4C0FB}" id="{B3C13483-59D2-9443-98B5-E5B5328D015C}">
    <text>Gleiches problem wie bei STI kompletter Berechnung. Prozent zweimal wegen Zurechnung bei G und S?</text>
  </threadedComment>
  <threadedComment ref="AD8" dT="2025-04-14T14:23:07.75" personId="{5F9ACD6B-4405-B442-B690-FF297DA4C0FB}" id="{16C25F5B-4EAF-344A-BA48-216B6013C841}">
    <text>Mittel zwischen 40 und 60 (S.11)</text>
  </threadedComment>
  <threadedComment ref="AE8" dT="2025-04-24T08:57:03.61" personId="{5F9ACD6B-4405-B442-B690-FF297DA4C0FB}" id="{7ADAFA6D-E7EA-594E-AFF4-3FB19B6976DC}">
    <text>... Scope-1- und -2-Treibhausgas-Emissionen
... Scope-3-Treibhausgas-Emissionen relevanter Kategorien
... unterstützten Kleinbauern in Ländern mit geringem bis mittlerem Einkommensniveau
... mit alltäglicher Gesundheitsversorgung unterstützen Menschen in unterversorgten Regionen
... Frauen in Ländern mit geringem bis mittlerem Einkommensniveau mit Zugang zu moderner Empfängnisverhütung</text>
  </threadedComment>
  <threadedComment ref="AI8" dT="2025-05-12T17:40:01.89" personId="{5F9ACD6B-4405-B442-B690-FF297DA4C0FB}" id="{19E001F3-59F3-2343-8162-C17D7A168E02}">
    <text>Die Unterstützung von Kleinbauern erreichte 100 %, der Zugang zu Empfängnisverhütung 20 %, die Gesundheitsversorgung in Regionen 120 %, die Scope 1&amp;2 Emissionen 100 %, die Scope 3 Emissionen 200 % und die Kompensation von Emissionen 100 %, was aggregiert einer Zielerreichung von 106,67 % entspricht.</text>
  </threadedComment>
  <threadedComment ref="AI8" dT="2025-05-12T17:41:31.35" personId="{5F9ACD6B-4405-B442-B690-FF297DA4C0FB}" id="{0224EAC6-59B7-CB4B-A869-EEA8B541FFB7}" parentId="{19E001F3-59F3-2343-8162-C17D7A168E02}">
    <text>Tranche 21, ZE der oben genannten KPIs bezieht sich aber nur auf das Jahr 2024</text>
  </threadedComment>
  <threadedComment ref="AM8" dT="2025-04-14T15:19:17.47" personId="{5F9ACD6B-4405-B442-B690-FF297DA4C0FB}" id="{FBD9023A-4B18-3546-9D83-9DCF926300BD}">
    <text>Kompensation verbleibender Scope-1- und -2-Treibhausgas-Emissionen
Ist zwar in den 2030 Konzernziehlen, wurde aber nicht explizit in der neuen 24 Tranche erwähnt, deshalb draußen (in der 21-24 Tranche ist es noch drinnen)</text>
  </threadedComment>
  <threadedComment ref="E9" dT="2025-04-24T10:00:50.77" personId="{5F9ACD6B-4405-B442-B690-FF297DA4C0FB}" id="{58ED3AAC-6E52-7E47-9008-283AC4A8B5CF}">
    <text xml:space="preserve">Der CEO hat das Ziel Digitalisierung und Nachhaltigkeit vorantreiben. Habe hier Nachhaltigkeit vorantreiben als allgemeines ESG Ziel eingeordnet. </text>
  </threadedComment>
  <threadedComment ref="G9" dT="2025-04-15T12:55:18.75" personId="{5F9ACD6B-4405-B442-B690-FF297DA4C0FB}" id="{AD7996B3-2B51-3946-9BD7-884F258BD5AE}">
    <text>CEO: individuelle Ziele zählen mit 30% in die STI. Es gibt insgesamt 3, wobei Ich Digitalisierung und Nachhaltigkeit vorantreiben nochmal durch zwei geteilt habe, um Digitalisierung auszuschließen</text>
  </threadedComment>
  <threadedComment ref="AI9" dT="2025-04-15T13:19:21.51" personId="{5F9ACD6B-4405-B442-B690-FF297DA4C0FB}" id="{1872A48D-2A8A-5347-A3A2-128CE30870D3}">
    <text>Zwar gar kein MAB Bonus, diesen hat aber nur ein Vorstandsmitglied bekommen, deshalb nur die ZE des LTI verwendet und MAB ignoriert</text>
  </threadedComment>
  <threadedComment ref="AI9" dT="2025-04-24T10:16:35.78" personId="{5F9ACD6B-4405-B442-B690-FF297DA4C0FB}" id="{B4EE7ED2-B7EF-9E4E-AE61-05F89F0419D6}" parentId="{1872A48D-2A8A-5347-A3A2-128CE30870D3}">
    <text>Reduktion der globalen Scope 1, 2 &amp; 3-Emissionen um 20% (ggü. 2018): 100%
Steigerung des Anteils recycelter Materialien in Plastikverpackungen um 20% (bis 2024): 100%
Transformation der "Big4" etablierten NIVEA-Produktreihen mit Fokus auf nachhaltige Formulierungen und Verpackungen: 97,5%
Erhöhung des Frauenanteils auf den Führungsebenen MG 1-4 auf 45%: 100%
Nachhaltigkeits-MG 1-4 einschließlich Steigerung der internen und internationalen Stellenbesetzung auf 75%: 100%
Diversity &amp; Inclusion Ziele: 100%</text>
  </threadedComment>
  <threadedComment ref="AK9" dT="2025-04-24T10:17:26.71" personId="{5F9ACD6B-4405-B442-B690-FF297DA4C0FB}" id="{89844B31-AD12-3344-8F5C-D8F51B62EED0}">
    <text>Reduktion der globalen Scope 1, 2 &amp; 3-Emissionen um 20% (ggü. 2018): 100%</text>
  </threadedComment>
  <threadedComment ref="AX9" dT="2025-04-24T10:22:27.75" personId="{5F9ACD6B-4405-B442-B690-FF297DA4C0FB}" id="{FC9E0909-B376-1046-9988-48455E6EF764}">
    <text>Könnte man wegen interner Beförderungen nochmal durch 2 teilen</text>
  </threadedComment>
  <threadedComment ref="AY9" dT="2025-04-24T09:52:37.61" personId="{5F9ACD6B-4405-B442-B690-FF297DA4C0FB}" id="{E000038A-C205-8646-9E6F-709E020B472B}">
    <text>MAB und LTI cap = 200</text>
  </threadedComment>
  <threadedComment ref="N10" dT="2025-04-24T12:01:55.18" personId="{5F9ACD6B-4405-B442-B690-FF297DA4C0FB}" id="{297295B7-FA96-E341-8B6E-37BABF29DB89}">
    <text>Ergebniskomponente 50% von STI, davon 50% rein ESG und 5 Unterziele</text>
  </threadedComment>
  <threadedComment ref="R10" dT="2025-04-24T12:07:39.64" personId="{5F9ACD6B-4405-B442-B690-FF297DA4C0FB}" id="{00B1EC70-6BE0-3749-B449-CDE6B520F2CB}">
    <text>Wandlungsfähigkeit an sich ESG, aber vom letzten Jahr übernommen</text>
  </threadedComment>
  <threadedComment ref="S10" dT="2025-04-24T12:13:40.58" personId="{5F9ACD6B-4405-B442-B690-FF297DA4C0FB}" id="{1CBA514D-7091-5E4B-8CC1-2C794F5D2E33}">
    <text>Hälfte des STI sind Erfolgskomponenten, davon 50 Prozent nur ESG Ziele (5) und von anderen 10% (insgesamt 8 Ziele) gibt es 4 relevante, wobei eines durch 3 geteilt wurde weil nur ein Punkt von den drei genannten wichtig ist</text>
  </threadedComment>
  <threadedComment ref="AI10" dT="2025-04-25T15:30:26.79" personId="{5F9ACD6B-4405-B442-B690-FF297DA4C0FB}" id="{3116FF8E-3658-094C-8FD0-CB1DE195217D}">
    <text>Flotten CO2: ZE: 130, Absatz BEV: ZE: 0 -&gt; ESG insgesamt 65%</text>
  </threadedComment>
  <threadedComment ref="AI10" dT="2025-04-25T15:32:12.99" personId="{5F9ACD6B-4405-B442-B690-FF297DA4C0FB}" id="{F5DF84F4-0759-6E49-AD43-A98C09B36F4A}" parentId="{3116FF8E-3658-094C-8FD0-CB1DE195217D}">
    <text>Da ROEC ZE =0 -&gt; gesamt ZE = 0+65/2</text>
  </threadedComment>
  <threadedComment ref="G11" dT="2025-05-03T15:22:21.30" personId="{5F9ACD6B-4405-B442-B690-FF297DA4C0FB}" id="{96F19E05-2135-C145-ACDC-C42CB897B6A3}">
    <text>9 KPIs,5 davon ESG</text>
  </threadedComment>
  <threadedComment ref="H11" dT="2025-04-15T16:46:36.95" personId="{5F9ACD6B-4405-B442-B690-FF297DA4C0FB}" id="{0D3E98F9-48BD-6949-ACB6-396D9B625EAE}">
    <text>Gleich mit auf jeden Fall 3 Vorstandsmitgliedern, mit anderen teils unterschiede</text>
  </threadedComment>
  <threadedComment ref="AK11" dT="2025-04-15T16:13:08.21" personId="{5F9ACD6B-4405-B442-B690-FF297DA4C0FB}" id="{B44AD84F-BEA2-1D49-AF72-E975640B2539}">
    <text>Reduktion der Treibhausgasemissionen (Scope 1 und
Scope 2)</text>
  </threadedComment>
  <threadedComment ref="I12" dT="2025-04-26T15:38:56.57" personId="{5F9ACD6B-4405-B442-B690-FF297DA4C0FB}" id="{12815ADD-0C2D-6040-B3F3-EEF0462F1EBD}">
    <text>Dr. Bettina Orlopp (new CEO)</text>
  </threadedComment>
  <threadedComment ref="I12" dT="2025-05-04T10:07:54.90" personId="{5F9ACD6B-4405-B442-B690-FF297DA4C0FB}" id="{5565ACAA-EC50-BF48-8901-7AD52F9E16A5}" parentId="{12815ADD-0C2D-6040-B3F3-EEF0462F1EBD}">
    <text>Einhaltung der Intensitäts-
Zielwerte (CO2):49%, Reduktion des CO2-Ausstoßes 119%, Frauenanteil: 150%, Aktives Vorleben und Fördern der
Unternehmenswerte und der Culture of Integrity 89%, Stärkung der Zusammenarbeit im
Vorstand 115%</text>
  </threadedComment>
  <threadedComment ref="N12" dT="2025-05-04T10:12:36.22" personId="{5F9ACD6B-4405-B442-B690-FF297DA4C0FB}" id="{ECDBC9B9-8627-4F4C-B0ED-D195D1245349}">
    <text xml:space="preserve">60% aus Konzernziehlen, davon 20% ESG und 50 Ziele insgesamt -&gt;60*0,2/5
</text>
  </threadedComment>
  <threadedComment ref="S12" dT="2025-05-04T10:17:00.75" personId="{5F9ACD6B-4405-B442-B690-FF297DA4C0FB}" id="{757B3D1C-C3AD-9643-A49A-2268756E4C07}">
    <text>Individuelle Ziele von CE= 30§ -&gt; davon 20% S Ziel</text>
  </threadedComment>
  <threadedComment ref="U12" dT="2025-05-04T10:19:52.93" personId="{5F9ACD6B-4405-B442-B690-FF297DA4C0FB}" id="{FC29F62E-A06F-DA49-A875-AE62244191B1}">
    <text>Abarbeitung von externen und internen Moniten</text>
  </threadedComment>
  <threadedComment ref="AI12" dT="2025-05-12T20:32:46.44" personId="{5F9ACD6B-4405-B442-B690-FF297DA4C0FB}" id="{EA69F3BB-77BE-984A-82BC-B846B5756420}">
    <text>CEO, Einhaltung der Intensitäts-
Zielwerte (CO2):49%, Reduktion des CO2-Ausstoßes 119%, Frauenanteil: 150%, Aktives Vorleben und Fördern der
Unternehmenswerte und der Culture of Integrity 89%, Stärkung der Zusammenarbeit im
Vorstand 115%</text>
  </threadedComment>
  <threadedComment ref="AN12" dT="2025-05-04T10:12:36.22" personId="{5F9ACD6B-4405-B442-B690-FF297DA4C0FB}" id="{740E5B56-D671-AF40-802B-A1D9DFF6F729}">
    <text xml:space="preserve">60% aus Konzernziehlen, davon 20% ESG und 50 Ziele insgesamt -&gt;60*0,2/5
</text>
  </threadedComment>
  <threadedComment ref="AS12" dT="2025-05-04T10:17:00.75" personId="{5F9ACD6B-4405-B442-B690-FF297DA4C0FB}" id="{E601E27D-000D-0E4B-A90D-34B7F064D211}">
    <text>Individuelle Ziele von CE= 30§ -&gt; davon 20% S Ziel</text>
  </threadedComment>
  <threadedComment ref="AU12" dT="2025-05-04T10:19:52.93" personId="{5F9ACD6B-4405-B442-B690-FF297DA4C0FB}" id="{A1B2D589-8AD4-0642-9139-5468901FCC08}">
    <text>Abarbeitung von externen und internen Moniten</text>
  </threadedComment>
  <threadedComment ref="E13" dT="2025-04-27T16:16:05.64" personId="{5F9ACD6B-4405-B442-B690-FF297DA4C0FB}" id="{E4F1916B-A6D3-F44D-A059-D0FC35E957D0}">
    <text>Habe ich jetzt zu Mitarbeiterzufriedenheit Zugeordnet, besteht aus 6 Fragen an die Mitarbeiter (vgl. S. 17), alternativ allgemein ESG</text>
  </threadedComment>
  <threadedComment ref="AE13" dT="2025-04-27T16:07:36.09" personId="{5F9ACD6B-4405-B442-B690-FF297DA4C0FB}" id="{25310429-A25F-2A45-A2EF-84F69773D70D}">
    <text>Hier S. 10 die KPIs der neu begonnenen Tranche genommen und nicht der Auslaufenden (erschien mir sinnvoller)</text>
  </threadedComment>
  <threadedComment ref="AL13" dT="2025-04-27T16:09:35.18" personId="{5F9ACD6B-4405-B442-B690-FF297DA4C0FB}" id="{34E7BE5D-F86F-DF46-8AEF-D5529DC38CEE}">
    <text>3 ESG Ziele, 20% ESG Anteil</text>
  </threadedComment>
  <threadedComment ref="I14" dT="2025-04-27T17:17:33.20" personId="{5F9ACD6B-4405-B442-B690-FF297DA4C0FB}" id="{AC3CBBD5-3A8E-A444-866E-CF3F5933E709}">
    <text>ZE abgesetzte ZEV: 35%, ZE Wohlbefinden der Mitarbeiter: 130 
CEO</text>
  </threadedComment>
  <threadedComment ref="M14" dT="2025-04-27T17:16:13.55" personId="{5F9ACD6B-4405-B442-B690-FF297DA4C0FB}" id="{8747EC29-E7EB-404D-BFA3-10D0AF6B021C}">
    <text>ZE: 35%</text>
  </threadedComment>
  <threadedComment ref="P14" dT="2025-04-27T17:16:43.12" personId="{5F9ACD6B-4405-B442-B690-FF297DA4C0FB}" id="{ED0D6602-01BD-2D40-B589-4D7E84C7B68F}">
    <text>Wohlbefinden der Mitarbeiter ZE: 130%</text>
  </threadedComment>
  <threadedComment ref="AI14" dT="2025-04-27T17:36:01.12" personId="{5F9ACD6B-4405-B442-B690-FF297DA4C0FB}" id="{FA833B06-49A8-A44F-90E2-C3E42D2A5DA8}">
    <text>Habe hier den alten CEO herangezogen, da der neue erst seit ein paar Monaten im Amt ist und somit 0 LTI hat,</text>
  </threadedComment>
  <threadedComment ref="D15" dT="2025-04-27T20:08:48.77" personId="{5F9ACD6B-4405-B442-B690-FF297DA4C0FB}" id="{6FFFCE3C-D53F-D541-B2A1-72A6A3B39200}">
    <text>S.7 CEO Zielvergütung</text>
  </threadedComment>
  <threadedComment ref="I15" dT="2025-04-27T20:07:50.29" personId="{5F9ACD6B-4405-B442-B690-FF297DA4C0FB}" id="{3A620AF9-3604-F446-BF63-D7F522914DBC}">
    <text>CEO</text>
  </threadedComment>
  <threadedComment ref="I15" dT="2025-05-04T12:33:15.97" personId="{5F9ACD6B-4405-B442-B690-FF297DA4C0FB}" id="{C9A98580-1204-7548-8CBC-89A7EA7FFEDE}" parentId="{3A620AF9-3604-F446-BF63-D7F522914DBC}">
    <text>Vorantreiben der
Behebung regulatorischer
Feststellungen und
Kontrollverbesserungen: ZE 70%</text>
  </threadedComment>
  <threadedComment ref="AD15" dT="2025-04-27T20:11:02.20" personId="{5F9ACD6B-4405-B442-B690-FF297DA4C0FB}" id="{C3D4FF4D-E14B-5746-901E-380734199C78}">
    <text>CEO nach S. 7</text>
  </threadedComment>
  <threadedComment ref="AI15" dT="2025-04-27T21:42:09.18" personId="{5F9ACD6B-4405-B442-B690-FF297DA4C0FB}" id="{408369F1-1D1D-BA45-8C64-61445E37E3B8}">
    <text>Aufgrund der Umstellung von einer rückwärtsgerichteten auf eine vorwärts gerichtete 3-jährige
Leistungsbemessungsperiode sind die ersten beiden Jahre nach Einführung des neuen Systems (2024 und 2025)
Übergangsjahre („Übergangsphase“). Die Awards des ersten Long-Term Incentive -Plans (LTI-Plan 2024-2026) werden erst
Anfang 2027 gewährt. Während der Übergangsphase wird der LTI zu Berechnungs- und Vergleichszwecken mit dem
Zielbetrag ausgewiesen</text>
  </threadedComment>
  <threadedComment ref="AI15" dT="2025-05-08T14:39:13.28" personId="{5F9ACD6B-4405-B442-B690-FF297DA4C0FB}" id="{03BCE3F2-FF96-3F4B-89A3-9AB0DFE84F22}" parentId="{408369F1-1D1D-BA45-8C64-61445E37E3B8}">
    <text>Habe deswegen 100 übernommen</text>
  </threadedComment>
  <threadedComment ref="AJ15" dT="2025-04-27T21:32:56.31" personId="{5F9ACD6B-4405-B442-B690-FF297DA4C0FB}" id="{2BD7D136-352A-EB4E-9A56-5CEB7E4CEE30}">
    <text>Umweltziel: Das Ziel, das Klimarisikomanagement voranzutreiben, ist mit den Reduktionszielen für
kohlenstoffintensive Sektoren verknüpft, die durch die Festlegung von CO2-Reduktionszielen für Schlüsselindustrien
offengelegt wurden. Diese Kennzahl misst die Entwicklung im Vergleich zum veröffentlichten Pfad nebst einer
zulässigen Abweichung (Risikobereitschaft)</text>
  </threadedComment>
  <threadedComment ref="AR15" dT="2025-04-27T21:34:40.09" personId="{5F9ACD6B-4405-B442-B690-FF297DA4C0FB}" id="{756E78F1-39E2-634A-A776-9FDDC754F046}">
    <text>Soziales Ziel: Das Ziel, der Erhöhung der Geschlechtervielfalt im Sinne des Zweiten Führungspositionengesetzes
(FüPOG II), konzentriert sich auf die Repräsentanz von Frauen auf den beiden Ebenen unterhalb des Vorstands
(Vorstandsebene- 1 und Vorstandsebene-2-Positionen), was der Diskriminierung in der Nachfolgeplanung des
Vorstands entgegenwirkt und die Chancengleichheit fördert</text>
  </threadedComment>
  <threadedComment ref="AW15" dT="2025-04-27T21:36:10.17" personId="{5F9ACD6B-4405-B442-B690-FF297DA4C0FB}" id="{FE765E88-371B-4346-85EA-478F9FC3CC09}">
    <text>Governance Ziel: Das Ziel der guten Unternehmensführung besteht aus dem Control-Risk-Management-Grade
(CRMG) und den Fortschritten, die bei den Anti-Geldwäsche / Know-Your-Client-Verbesserungsmaßnahmen erzielt
wurden.</text>
  </threadedComment>
  <threadedComment ref="U16" dT="2025-05-12T21:42:45.61" personId="{5F9ACD6B-4405-B442-B690-FF297DA4C0FB}" id="{B97926E2-B211-7143-8ACD-E9FFD14CEBD4}">
    <text>Effektiver Umgang mit kritischen Situationen (d. h. Cum-Ex-Thematik, Feststellungen, Interaktionen mit Regulatoren, rechtli-
che Verfahren sowie weitere ad hoc auftretende Themen)</text>
  </threadedComment>
  <threadedComment ref="AI16" dT="2025-04-28T10:35:56.88" personId="{5F9ACD6B-4405-B442-B690-FF297DA4C0FB}" id="{5D0F2B5A-1FA3-5440-AC96-E581181367A2}">
    <text>Im Jahr 2024 Lag die ZE für die ESG Ziele bei 222,22 für externe Sicht (ESG), 169,23 bei Mitarbeiterzufriedenheit, bei 157,52 bei Ausbau des ESG Geschäfts sowie bei 120 für CO2 Neutralität -&gt; sprich insgesamt  167,24 für alle ESG Ziele</text>
  </threadedComment>
  <threadedComment ref="AI16" dT="2025-04-28T10:37:37.69" personId="{5F9ACD6B-4405-B442-B690-FF297DA4C0FB}" id="{7AE8733E-533F-014B-BA34-5FCA391EC8D7}" parentId="{5D0F2B5A-1FA3-5440-AC96-E581181367A2}">
    <text>Auf Basis der Zielerreichungen in den beiden gleichgewichteten Leistungskrite-
rien ergibt sich in der PSP-Tranche 2020 eine Gesamtzielerreichung von
112,12 Prozent (Vergütungssystems 2016) bzw. eine Gesamtzielerreichung
von 113,13 Prozent (Vergütungssystem 2020).</text>
  </threadedComment>
  <threadedComment ref="I17" dT="2025-04-28T11:04:09.98" personId="{5F9ACD6B-4405-B442-B690-FF297DA4C0FB}" id="{C24479A4-87BF-3042-99A6-EE313D3F95FB}">
    <text>CEO:
ZE ESG: E: 122,7
S: 112,5
G: 125</text>
  </threadedComment>
  <threadedComment ref="K17" dT="2025-04-28T11:03:16.88" personId="{5F9ACD6B-4405-B442-B690-FF297DA4C0FB}" id="{2D3DEEEA-7461-EF40-A39C-53FE48690428}">
    <text xml:space="preserve">Maßnahmen zur absoluten CO2-Reduktion im Konzern
Realisierte Dekarbonisierungseffekte </text>
  </threadedComment>
  <threadedComment ref="Y17" dT="2025-05-04T16:07:20.92" personId="{5F9ACD6B-4405-B442-B690-FF297DA4C0FB}" id="{319D7588-9310-9245-A10D-6CEC9B5390AD}">
    <text>Mit außergewöhnlichen Entwicklungen kann es mehr sein</text>
  </threadedComment>
  <threadedComment ref="AI17" dT="2025-04-28T11:20:21.34" personId="{5F9ACD6B-4405-B442-B690-FF297DA4C0FB}" id="{1FD09EDB-B586-6045-A315-A15307B3C2C3}">
    <text>Bei der Langfristkomponente, deren Sperrfrist im Berichtsjahr endete (SAR-Tranche 2020), wurde dagegen keines der sechs Teilziele
erreicht, da die absolute Performance der Deutsche-Post-Aktie zum Ende der Sperrfrist gegenüber dem Ausgangsjahr um
weniger als 10% gesteigert wurde und ihre relative Performance gegenüber dem STOXX Europe 600 negativ war. Die SAR-Tranche
2020 ist daher ersatz- und entschädigungslos verfallen, sodass hieraus zu keinem Zeitpunkt Zahlungen fließen werden.</text>
  </threadedComment>
  <threadedComment ref="G18" dT="2025-04-28T21:18:19.20" personId="{5F9ACD6B-4405-B442-B690-FF297DA4C0FB}" id="{165199FD-541C-6F4A-B7F6-B8BAF3E33867}">
    <text>6 Ziele, davon 1 ESG -&gt; 1/6</text>
  </threadedComment>
  <threadedComment ref="H18" dT="2025-04-28T21:19:33.92" personId="{5F9ACD6B-4405-B442-B690-FF297DA4C0FB}" id="{7720A549-0B5C-7E4A-AE91-9D21916BA190}">
    <text>Hier war letztes Jahr mit gleicher Datenlage 0, da der CEO aber ein individuelles ESG zieht hat (die anderen beiden gelesen für alle) in meinen Augen 1</text>
  </threadedComment>
  <threadedComment ref="I18" dT="2025-04-28T21:37:17.04" personId="{5F9ACD6B-4405-B442-B690-FF297DA4C0FB}" id="{89434D21-8FFA-224F-B1EF-51BEE99DC324}">
    <text>CO2-Emissionen: ZE 125%
Energieverbrauch: ZE 136%
CEO</text>
  </threadedComment>
  <threadedComment ref="K18" dT="2025-04-28T21:36:33.37" personId="{5F9ACD6B-4405-B442-B690-FF297DA4C0FB}" id="{85E48B14-583F-C04F-8A96-E4448E28AA41}">
    <text>CO2-Emissionen</text>
  </threadedComment>
  <threadedComment ref="AI18" dT="2025-04-28T21:44:33.31" personId="{5F9ACD6B-4405-B442-B690-FF297DA4C0FB}" id="{11A16C90-C22B-1944-B37A-0839B153F73B}">
    <text>Tranche 21</text>
  </threadedComment>
  <threadedComment ref="AI18" dT="2025-04-28T21:46:33.92" personId="{5F9ACD6B-4405-B442-B690-FF297DA4C0FB}" id="{8937900B-B3EE-DC46-ABCF-62B5B0516F20}" parentId="{11A16C90-C22B-1944-B37A-0839B153F73B}">
    <text xml:space="preserve"> 278 % festgestellt. Die Auszahlung des LTI, die im Geschäftsjahr 2025 erfolgt, wird bei 200 % des Auslobungsbetrags begrenzt. Nur ZE wäre 130%</text>
  </threadedComment>
  <threadedComment ref="AI18" dT="2025-04-28T21:51:11.57" personId="{5F9ACD6B-4405-B442-B690-FF297DA4C0FB}" id="{611B5EA5-BE97-E345-841E-DDF097A030AA}" parentId="{11A16C90-C22B-1944-B37A-0839B153F73B}">
    <text>Kundenzufriedenheit ZE 2024: 150%, auf gesamte Tranche145%, Mitarbeiterzufriedneheit 2024 130%, gesamte Tranche 123%</text>
  </threadedComment>
  <threadedComment ref="D19" dT="2025-04-29T16:55:37.89" personId="{5F9ACD6B-4405-B442-B690-FF297DA4C0FB}" id="{44CA4891-77FD-644D-A102-33409E1D936F}">
    <text>CEO, S.9</text>
  </threadedComment>
  <threadedComment ref="E19" dT="2025-04-22T15:07:03.65" personId="{5F9ACD6B-4405-B442-B690-FF297DA4C0FB}" id="{C01BA356-5886-0D4C-8AB9-6FFEBF86CC82}">
    <text/>
  </threadedComment>
  <threadedComment ref="E19" dT="2025-04-22T15:18:38.21" personId="{5F9ACD6B-4405-B442-B690-FF297DA4C0FB}" id="{C5D1484C-ECAC-C145-B8F8-79839C69B120}" parentId="{C01BA356-5886-0D4C-8AB9-6FFEBF86CC82}">
    <text>Ausrollen der neuen Positionierung („Playmaker / It’s on us to make new energy work”) auch innerhalb des Unternehmens
mit Fokus auf Leistungsorientierung und Veränderungskultur; Integration des Marken- und Strategiesystems in das neue
E.ON Kompetenzmodell und die E.ON Führungsprinzipien als Grundlage der konzernweiten Personalaktivitäten</text>
  </threadedComment>
  <threadedComment ref="E19" dT="2025-04-29T17:00:33.18" personId="{5F9ACD6B-4405-B442-B690-FF297DA4C0FB}" id="{CD286C01-1D8B-9646-8DBB-ED5E9BD8564B}" parentId="{C01BA356-5886-0D4C-8AB9-6FFEBF86CC82}">
    <text>Könnte man sich übernehmen noch als ESG zu kennzeichnen</text>
  </threadedComment>
  <threadedComment ref="I19" dT="2025-04-22T15:11:51.07" personId="{5F9ACD6B-4405-B442-B690-FF297DA4C0FB}" id="{92362D09-E5D1-5B49-A931-736B42C567D5}">
    <text>NPS ZE: 108</text>
  </threadedComment>
  <threadedComment ref="K19" dT="2025-04-22T15:21:39.23" personId="{5F9ACD6B-4405-B442-B690-FF297DA4C0FB}" id="{5EEA47A6-4B4B-5244-9EF6-248F075CDE09}">
    <text>Übererfüllung der ESG-Ziele im Bereich Klima und Dekarbonisierung</text>
  </threadedComment>
  <threadedComment ref="I20" dT="2025-04-29T16:45:45.19" personId="{5F9ACD6B-4405-B442-B690-FF297DA4C0FB}" id="{FCE6B8D6-5A21-184E-947C-E7334EE9B46B}">
    <text>CEO,
Mitarbeiterzufriedenheit ZE: 76,52
Medizinische Qualität ZE: 129,27, sprich insgesamt ESG 102,9</text>
  </threadedComment>
  <threadedComment ref="Q20" dT="2025-04-29T16:44:10.87" personId="{5F9ACD6B-4405-B442-B690-FF297DA4C0FB}" id="{381AEBDC-ED22-7843-8DC5-145FFBF730BE}">
    <text>Employee Engagement Index (EEI)</text>
  </threadedComment>
  <threadedComment ref="I21" dT="2025-04-29T15:28:19.42" personId="{5F9ACD6B-4405-B442-B690-FF297DA4C0FB}" id="{482A5C0D-A527-4A45-97E1-9AE55E53C7C9}">
    <text>Mitarbeiterzufriedenheit ZE: 100, Patientenzufriedenheit ZE: 120 -&gt; sprich insgesamt Nachhaltigkeitsziel ZE 100%</text>
  </threadedComment>
  <threadedComment ref="I21" dT="2025-04-29T15:29:45.91" personId="{5F9ACD6B-4405-B442-B690-FF297DA4C0FB}" id="{E314AF86-626E-3541-9F4E-F6E85119EF50}" parentId="{482A5C0D-A527-4A45-97E1-9AE55E53C7C9}">
    <text>CEO</text>
  </threadedComment>
  <threadedComment ref="AI21" dT="2025-04-29T15:35:48.84" personId="{5F9ACD6B-4405-B442-B690-FF297DA4C0FB}" id="{599BB976-92C0-5249-BD7A-11BFAC50C6F1}">
    <text>Tranche 21, Ze 14% -&gt; Ausschüttung 10%</text>
  </threadedComment>
  <threadedComment ref="AK21" dT="2025-04-29T15:33:52.96" personId="{5F9ACD6B-4405-B442-B690-FF297DA4C0FB}" id="{F6555B8E-6BB5-BC4D-9AAF-07CAF8A60E8B}">
    <text>Als Nachhaltigkeitsziel wurde die Reduktion der marktbasierten CO2 Emissionen festgelegt.</text>
  </threadedComment>
  <threadedComment ref="G22" dT="2025-04-29T14:26:49.46" personId="{5F9ACD6B-4405-B442-B690-FF297DA4C0FB}" id="{BC1B8E64-DAE3-5D47-9B3A-8688E17D528A}" done="1">
    <text>Zu / Abschlag, könnte man auch als KPI interpretieren. Letztes Jahr war es 25% (weiß nicht wie diese Zahl rausgekommen ist 2/4 Zielen ESG -&gt; 50%</text>
  </threadedComment>
  <threadedComment ref="G22" dT="2025-04-29T14:27:08.19" personId="{5F9ACD6B-4405-B442-B690-FF297DA4C0FB}" id="{E7CCB309-B4CD-DC44-82A6-715802F16F18}" parentId="{BC1B8E64-DAE3-5D47-9B3A-8688E17D528A}">
    <text>Vgl. S. 11</text>
  </threadedComment>
  <threadedComment ref="I22" dT="2025-04-29T14:27:54.63" personId="{5F9ACD6B-4405-B442-B690-FF297DA4C0FB}" id="{200CDB40-91CF-9644-B9C4-2F4BD7B5A23E}">
    <text>CEO</text>
  </threadedComment>
  <threadedComment ref="I22" dT="2025-05-04T19:16:38.41" personId="{5F9ACD6B-4405-B442-B690-FF297DA4C0FB}" id="{432C7B89-4C86-194D-8432-CB6DAC53D6F8}" parentId="{200CDB40-91CF-9644-B9C4-2F4BD7B5A23E}">
    <text xml:space="preserve">Hier jetzt mit Zuteilungs/Auszahlungsbetrag berechnet, da sonst keine Daten verfügbar waren (vgl. S. 14 -&gt; sonst auch keine angaben möglich </text>
  </threadedComment>
  <threadedComment ref="J22" dT="2025-05-04T19:04:51.35" personId="{5F9ACD6B-4405-B442-B690-FF297DA4C0FB}" id="{E5F3CF37-AB57-2B46-BF57-435C20342D32}">
    <text>Habe das zweite Ziel alls allgemeines ESG Ziel eingeordnet, man könnte sich auch überlegen es hier einzubringen: Weiterentwicklung und Umsetzung der Nachhaltigkeitsstrategie zur Positionierung der Hannover Rück als nachhaltiger Konzern in den Dimensionen Versicherungstechnik, Kapitalanlagen und Reduktion der Emissionen.</text>
  </threadedComment>
  <threadedComment ref="Z22" dT="2025-04-29T14:23:25.37" personId="{5F9ACD6B-4405-B442-B690-FF297DA4C0FB}" id="{753A6C3D-6EF8-5440-B584-7169EDC52DE3}">
    <text>Einordnung des zweiten Ziels  als allgemeines ESG Ziel korrekt?</text>
  </threadedComment>
  <threadedComment ref="AI22" dT="2025-04-29T14:44:36.77" personId="{5F9ACD6B-4405-B442-B690-FF297DA4C0FB}" id="{62044670-14F3-EE47-9D6E-7DD9027D518E}">
    <text>Nach altem System (damals noch kein ESG, neues system Zuteilungswert 195,67</text>
  </threadedComment>
  <threadedComment ref="AI22" dT="2025-05-04T19:11:38.62" personId="{5F9ACD6B-4405-B442-B690-FF297DA4C0FB}" id="{BAE264CD-5817-1840-9F6F-450C5C501040}" parentId="{62044670-14F3-EE47-9D6E-7DD9027D518E}">
    <text>Vgl S.14</text>
  </threadedComment>
  <threadedComment ref="D23" dT="2025-04-29T13:09:58.22" personId="{5F9ACD6B-4405-B442-B690-FF297DA4C0FB}" id="{1EAADF6D-8710-7445-834E-DBF8B90AAE0C}">
    <text>CEO, S.300</text>
  </threadedComment>
  <threadedComment ref="F23" dT="2025-04-29T13:31:58.04" personId="{5F9ACD6B-4405-B442-B690-FF297DA4C0FB}" id="{2BA9D499-8720-5E46-B268-E16C5FCDD56B}">
    <text>Der Jahresüberschuss wird mot der CO2 Komponente multipliziert, außerdem fließen Nachhaltigkeitziele als Teil des STI durch addition mit ein</text>
  </threadedComment>
  <threadedComment ref="G23" dT="2025-04-29T13:34:14.58" personId="{5F9ACD6B-4405-B442-B690-FF297DA4C0FB}" id="{54F30383-5F5B-854C-BF39-2C56F58161D0}">
    <text>C02 Komponente, Health und Safety (10%), Nachhaltige Umsätze (10%), 1 von 2 individuellen Zielend es CEOs (5%)</text>
  </threadedComment>
  <threadedComment ref="I23" dT="2025-04-29T13:36:26.90" personId="{5F9ACD6B-4405-B442-B690-FF297DA4C0FB}" id="{5024C6C0-E52A-2E43-AD4C-5DF24003171A}">
    <text>CEO: CO2 Faktor: 1,06, Health &amp; Safety : 162%, Nachhaltige Umsätze, 194%</text>
  </threadedComment>
  <threadedComment ref="AD23" dT="2025-04-29T13:10:34.97" personId="{5F9ACD6B-4405-B442-B690-FF297DA4C0FB}" id="{B3C4B7B7-FA09-4049-B1E7-9429ACE20ED6}">
    <text>CEO, S. 300</text>
  </threadedComment>
  <threadedComment ref="AI23" dT="2025-04-29T13:57:44.45" personId="{5F9ACD6B-4405-B442-B690-FF297DA4C0FB}" id="{0BAE0013-AA47-2249-A685-440A6D360359}">
    <text>Tranche 22. Letztes jähr wurde sich nur auf die Management Komponente und nicht auf die Kapitalmarktkompenente (denke auch weil diese um 1 Jahr verzogen ist) bezogen. Diese macht aber nur 50% der LTI aus. Habe es jetzt auch so übernommen, kann bei bedarf gerne geändert werden (ZE Kapitalmarktkomponente 147,5%)</text>
  </threadedComment>
  <threadedComment ref="AK23" dT="2025-04-29T13:53:12.45" personId="{5F9ACD6B-4405-B442-B690-FF297DA4C0FB}" id="{1CC1CDB3-1007-684E-8F1B-829BADF4B6AD}">
    <text>Für die Tranche 2024 des Langfristbonus hat der Auf-
sichtsrat Ziele zur Reduktion der spezifischen CO2-
Emissionen pro Tonne Zement über die dreijährige
Performance-Periode des Langfristbonus mit den
Vorstandsmitgliedern vereinbart. Die spezifischen
CO2-Emissionen pro Tonne Zement werden dabei
analog der in Abschnitt „CO2-Komponente“ be-
schriebenen internen Logik gemessen, die auch für
die Messung der Zielerreichung im Jahresbonus gilt.</text>
  </threadedComment>
  <threadedComment ref="AI24" dT="2025-04-30T08:47:21.80" personId="{5F9ACD6B-4405-B442-B690-FF297DA4C0FB}" id="{1FF84E46-2F55-9E42-B249-935BD065DF49}">
    <text>Tranche 22, für 24 ZE CO2 Emissionen 150%, ZE recycel-
tem Kunststoff 150%, ZE Gender Parity Ambition 2025 120%</text>
  </threadedComment>
  <threadedComment ref="I26" dT="2025-05-05T12:58:14.00" personId="{5F9ACD6B-4405-B442-B690-FF297DA4C0FB}" id="{F8A8E1BA-028A-8A4F-BB74-B1AC89A29B73}">
    <text>Transformationsziele insgesamt + 10 ZE
Integrität +2,
Kundenzufriedenheit +2,
Mitarbeiterbindung +2</text>
  </threadedComment>
  <threadedComment ref="AN26" dT="2025-05-05T13:13:00.62" personId="{5F9ACD6B-4405-B442-B690-FF297DA4C0FB}" id="{2D165189-CEC2-5347-8111-EDD4C0BA14A8}">
    <text>3 Ziele, und insgesamt 20% ESG -&gt; 20/3</text>
  </threadedComment>
  <threadedComment ref="G27" dT="2025-05-05T13:32:44.70" personId="{5F9ACD6B-4405-B442-B690-FF297DA4C0FB}" id="{623F6238-9478-9C4A-B255-C595D56066EF}">
    <text>Eines von 2 großen Themenkriterien</text>
  </threadedComment>
  <threadedComment ref="I27" dT="2025-05-05T13:34:20.25" personId="{5F9ACD6B-4405-B442-B690-FF297DA4C0FB}" id="{E1DC51DB-C091-0247-B06A-1CE758F2C65C}">
    <text>Hier ist es schwierig eine Zielerreichung festzusetzen, da das Management prozentual am gewinn beteiligt ist. Die Gewinnbeteiligung wird aber nochmals mit einem Faktor multipliziert</text>
  </threadedComment>
  <threadedComment ref="K27" dT="2025-05-05T13:38:47.85" personId="{5F9ACD6B-4405-B442-B690-FF297DA4C0FB}" id="{BAF79122-9A99-1146-8C5E-53745EDFC91B}">
    <text>Im Bereich Nachhaltigkeit wurden Treibhausgasemissionen erfolgreich reduziert</text>
  </threadedComment>
  <threadedComment ref="Y27" dT="2025-04-30T10:22:55.03" personId="{5F9ACD6B-4405-B442-B690-FF297DA4C0FB}" id="{77702B4A-2F5F-B54B-AF37-E80704A4F786}">
    <text>/nur absoluter Betrag</text>
  </threadedComment>
  <threadedComment ref="D28" dT="2025-05-01T13:21:04.36" personId="{5F9ACD6B-4405-B442-B690-FF297DA4C0FB}" id="{2493A2D0-993D-9345-9145-11B5A4308B42}">
    <text>gemittelt nach S.4</text>
  </threadedComment>
  <threadedComment ref="E28" dT="2025-05-01T13:33:19.90" personId="{5F9ACD6B-4405-B442-B690-FF297DA4C0FB}" id="{D11100CC-D346-834C-8FF3-9CEA648888A3}">
    <text>Flying Fuel cell program ESG? Hier aberl nicht gewertet</text>
  </threadedComment>
  <threadedComment ref="E28" dT="2025-05-05T13:30:32.27" personId="{5F9ACD6B-4405-B442-B690-FF297DA4C0FB}" id="{FCECE2CB-F676-1C41-B99F-5684C208894F}" parentId="{D11100CC-D346-834C-8FF3-9CEA648888A3}">
    <text>Letztes Jahr wurden die Nachhaltigkeitsziele genau beschreiben (S. 188). Dieses Jahr keine genaue Beschreibung und nur beiläufig erwähnt, deshalb nur als allgemeines eng ziel gewertet: Um die individuelle Leistung der Geschäftsleitungsmitglieder angemessen zu berücksichtigen, kann der Personalausschuss die Auszahlung über einen Faktor mit einer Spannbreite von 0,8 bis 1,2 anpassen. Der Anpassungsfaktor ermöglicht es, eine hervorragende individuelle Leistung sowie die Übererfüllung bestimmter Nachhaltigkeitsziele durch Multiplikation der Gewinnbeteiligung mit einem Wert oberhalb von 1,0 bis 1,2 zu honorieren.</text>
  </threadedComment>
  <threadedComment ref="I28" dT="2025-05-01T13:31:50.33" personId="{5F9ACD6B-4405-B442-B690-FF297DA4C0FB}" id="{74135153-AB03-4A4F-9D50-608FD9AD4DF4}">
    <text>C02 Einsparung: 152,5
Bildungstage je Mitarbeiter 163,33
Sprich insgesamt ESG Ziele 157,92</text>
  </threadedComment>
  <threadedComment ref="AD28" dT="2025-05-01T13:21:49.71" personId="{5F9ACD6B-4405-B442-B690-FF297DA4C0FB}" id="{C610CA1F-63E1-8D46-98CD-DA09FC241ACF}">
    <text>Gemittelt nach S.4</text>
  </threadedComment>
  <threadedComment ref="AI28" dT="2025-05-01T13:47:49.54" personId="{5F9ACD6B-4405-B442-B690-FF297DA4C0FB}" id="{6C523027-7141-324C-B2A5-BDB4DAFC0EBC}">
    <text>Es wurde eine neue Tranche begonnen, zu der ZE wurde dieses Jahr noch nichts erwähnt</text>
  </threadedComment>
  <threadedComment ref="AK28" dT="2025-05-01T13:40:34.16" personId="{5F9ACD6B-4405-B442-B690-FF297DA4C0FB}" id="{43FF9F5F-B57C-404E-93A3-25094E9E7ADB}">
    <text>C=2 Restemissionen</text>
  </threadedComment>
  <threadedComment ref="E30" dT="2025-04-16T14:25:47.10" personId="{5F9ACD6B-4405-B442-B690-FF297DA4C0FB}" id="{17270485-F0B1-1940-BEDD-CA2E307E3B14}">
    <text>Governance Faktoren, Dekarbonisierung, Geschlechterquote , Customer excitement index, Mitarbeiterzufriedenheit, Governance Faktor</text>
  </threadedComment>
  <threadedComment ref="Q30" dT="2025-04-16T14:44:30.68" personId="{5F9ACD6B-4405-B442-B690-FF297DA4C0FB}" id="{1D148C81-D9ED-C14C-891A-0AE6204E2129}">
    <text>Alle S Ziele machen 60% vom ES Faktor aus</text>
  </threadedComment>
  <threadedComment ref="AA30" dT="2025-04-16T14:48:59.58" personId="{5F9ACD6B-4405-B442-B690-FF297DA4C0FB}" id="{DBD03A40-481A-4141-A642-AE79627802C3}">
    <text>IPO bonus möglich, aber nur einmalig und eh keinen ESG Anteil. Im letzten Report bei LTI berücksichtigt halte das aber nicht für korrekt</text>
  </threadedComment>
  <threadedComment ref="AI30" dT="2025-05-05T15:49:47.99" personId="{5F9ACD6B-4405-B442-B690-FF297DA4C0FB}" id="{C7B3335F-8995-4045-82AF-46A7401773FC}">
    <text>Letzten 3 Jahre EPS Schnitt, nur 24 wären es 72,5</text>
  </threadedComment>
  <threadedComment ref="A31" dT="2025-05-05T16:24:15.47" personId="{5F9ACD6B-4405-B442-B690-FF297DA4C0FB}" id="{AAD3B866-6BF2-5F41-8833-AFEFBA352B98}">
    <text>Bezieht sich auf das Jahr 2023, weil der 23 STI 2024 ausgezahlt wird und der 24 STI nicht besprochen wird</text>
  </threadedComment>
  <threadedComment ref="I31" dT="2025-05-05T16:04:31.77" personId="{5F9ACD6B-4405-B442-B690-FF297DA4C0FB}" id="{1837EA91-525A-0741-9004-CC328014CCB9}">
    <text>CEO</text>
  </threadedComment>
  <threadedComment ref="I31" dT="2025-05-05T16:08:27.36" personId="{5F9ACD6B-4405-B442-B690-FF297DA4C0FB}" id="{B08A5927-B392-9A4C-B08C-F963CFF8C6A6}" parentId="{1837EA91-525A-0741-9004-CC328014CCB9}">
    <text>Mitarbeiterentwicklung ZE 125, Nachfolgeplanung ZE 150</text>
  </threadedComment>
  <threadedComment ref="R31" dT="2025-05-05T16:09:21.73" personId="{5F9ACD6B-4405-B442-B690-FF297DA4C0FB}" id="{6C1F4E26-1204-4542-BE22-2BC665CBB103}">
    <text>Man kann sich streiten ob Mitarbeiterentwicklung S ist, halte es aber schon für S</text>
  </threadedComment>
  <threadedComment ref="I33" dT="2025-05-05T18:24:54.16" personId="{5F9ACD6B-4405-B442-B690-FF297DA4C0FB}" id="{7DF8C74D-2473-224C-A56F-E59BC7FA4C41}">
    <text>CO2 250% ZE Compliance 187,5</text>
  </threadedComment>
  <threadedComment ref="I33" dT="2025-05-05T18:25:04.82" personId="{5F9ACD6B-4405-B442-B690-FF297DA4C0FB}" id="{138088EC-A230-244A-8CA6-E51D4004C56C}" parentId="{7DF8C74D-2473-224C-A56F-E59BC7FA4C41}">
    <text>ESG gesamt 218,75</text>
  </threadedComment>
  <threadedComment ref="AI33" dT="2025-05-15T08:05:27.39" personId="{5F9ACD6B-4405-B442-B690-FF297DA4C0FB}" id="{22930840-BD47-9443-B0E8-60DFD1975E51}">
    <text>Im Geschäftsjahr 2024 endete keine der zuvor zugeteilten LTI-Tranchen, daher gab es im Jahr 2024 keine Auszahlung einer LTI-Tranche</text>
  </threadedComment>
  <threadedComment ref="AL33" dT="2025-05-05T18:30:24.33" personId="{5F9ACD6B-4405-B442-B690-FF297DA4C0FB}" id="{844AB76B-A30F-384E-90A3-D76BFBD1A666}">
    <text>Mitte S. 180</text>
  </threadedComment>
  <threadedComment ref="G34" dT="2025-05-05T18:40:39.95" personId="{5F9ACD6B-4405-B442-B690-FF297DA4C0FB}" id="{1CD0F463-25F8-1948-B0F5-4E851AEF89BB}">
    <text>Berechnung nach Anzahl der ESG Ziel in einem Oberziel sowie die Gewichtung des Oberziels im Faktor</text>
  </threadedComment>
  <threadedComment ref="I34" dT="2025-05-05T18:44:32.83" personId="{5F9ACD6B-4405-B442-B690-FF297DA4C0FB}" id="{1D6DB3C9-3874-0C4E-8879-C94959BE9A07}">
    <text>CEO Gebiet der CSR/ESG und Mitarbeitermotivation ein Zielerreichungsgrad von 109 %</text>
  </threadedComment>
  <threadedComment ref="I35" dT="2025-05-05T19:18:06.53" personId="{5F9ACD6B-4405-B442-B690-FF297DA4C0FB}" id="{EFE576CF-A8F0-C04F-8C86-84B6814B734E}">
    <text>KNPS: 1,050
Mitarbeiterengagement: 0,75</text>
  </threadedComment>
  <threadedComment ref="Y35" dT="2025-05-05T19:29:32.56" personId="{5F9ACD6B-4405-B442-B690-FF297DA4C0FB}" id="{62E1AC7C-170A-614C-936A-F8A9BB7352C4}">
    <text>Performance-Faktor maximal 1,4, 200% deferral cap</text>
  </threadedComment>
  <threadedComment ref="AI35" dT="2025-05-05T19:25:53.71" personId="{5F9ACD6B-4405-B442-B690-FF297DA4C0FB}" id="{91F5F3DB-F069-D347-B580-376816D5403B}">
    <text>Tasche 24</text>
  </threadedComment>
  <threadedComment ref="AK35" dT="2025-05-05T19:13:14.91" personId="{5F9ACD6B-4405-B442-B690-FF297DA4C0FB}" id="{5F6A9A12-2497-D84F-9EE0-EBD5F2AE52DD}">
    <text>Netto Null bis 2030</text>
  </threadedComment>
  <threadedComment ref="D36" dT="2025-05-06T06:32:14.31" personId="{5F9ACD6B-4405-B442-B690-FF297DA4C0FB}" id="{11384D52-38DD-FF4B-BE02-10232746D09C}">
    <text>S. 237 CEO</text>
  </threadedComment>
  <threadedComment ref="H36" dT="2025-04-21T20:23:38.57" personId="{5F9ACD6B-4405-B442-B690-FF297DA4C0FB}" id="{4D305A29-3408-CE43-97C1-558DF356308E}">
    <text>Wird für den CEO unterschiedlich gescort, aber die KPIs sind gleich</text>
  </threadedComment>
  <threadedComment ref="P36" dT="2025-05-14T19:26:56.31" personId="{5F9ACD6B-4405-B442-B690-FF297DA4C0FB}" id="{7BC431CF-683D-E141-A46B-6C13A5A80E86}">
    <text>Employee Net Promoter Score (ENPS)</text>
  </threadedComment>
  <threadedComment ref="AI36" dT="2025-05-06T06:45:16.89" personId="{5F9ACD6B-4405-B442-B690-FF297DA4C0FB}" id="{A77625F2-772F-E547-9393-8852CD452564}">
    <text>Für das Geschäftsjahr 2024 war keine
Tranche fällig, da die Umstellung auf den Vierjahreszeitraum mit Beginn des Jahres 2022 erfolgte (Vorjahr: Konzernjahresüberschuss
2021 -2023)</text>
  </threadedComment>
  <threadedComment ref="AZ36" dT="2025-05-14T19:33:40.56" personId="{5F9ACD6B-4405-B442-B690-FF297DA4C0FB}" id="{EB3A5856-2C16-9349-A9C4-1C6A3EC2A5E1}">
    <text>Hier die dpa für die Phantom Stock verwendet, reine Aktienvergütung hat gar kein Limit</text>
  </threadedComment>
  <threadedComment ref="D37" dT="2025-05-14T15:56:43.39" personId="{5F9ACD6B-4405-B442-B690-FF297DA4C0FB}" id="{7AC76EB7-7B33-C94E-B7CE-B2FFB91E6444}">
    <text xml:space="preserve">CEO
</text>
  </threadedComment>
  <threadedComment ref="AD37" dT="2025-05-14T15:57:13.20" personId="{5F9ACD6B-4405-B442-B690-FF297DA4C0FB}" id="{7C8C2569-3D1F-1941-AB45-4CD972B7FFC5}">
    <text xml:space="preserve">CEO
</text>
  </threadedComment>
  <threadedComment ref="AE37" dT="2025-04-21T17:28:49.79" personId="{5F9ACD6B-4405-B442-B690-FF297DA4C0FB}" id="{E395E47C-23FB-C34D-813D-BDEDB08EC322}">
    <text>23 noch drei, deshalb 3 ZE für 2023: CO2: 200%, NPS: 100, Lernstunden pro Mitarbeiter 18%. Gesamt für die 20 Tranche ESG ZE: 106</text>
  </threadedComment>
  <threadedComment ref="AI37" dT="2025-04-21T17:37:41.96" personId="{5F9ACD6B-4405-B442-B690-FF297DA4C0FB}" id="{C1DCC959-F90E-0D42-9ADE-1456D139EACE}">
    <text>Tranche 2020 S.27 ZE TSR und ESG mit jeweiliger Gewichtung addiert
Tranche 2020 CO2 ZE pro Jahr:0, 200, 200, 200 
Lernstunde pro Mitarbeiter 0, 0, 20, 18
NPS 0, 160, 60, 100
Gesamtzielerreichung Nachhaltigkeitsindex 106%</text>
  </threadedComment>
  <threadedComment ref="D38" dT="2025-05-06T07:05:13.11" personId="{5F9ACD6B-4405-B442-B690-FF297DA4C0FB}" id="{AF41DBC3-40AB-3C46-9691-0FD3657C776C}">
    <text>Wegen Bürgschaft alle variablen Vergütungen Ziel = 0</text>
  </threadedComment>
  <threadedComment ref="D38" dT="2025-05-06T07:06:27.98" personId="{5F9ACD6B-4405-B442-B690-FF297DA4C0FB}" id="{91CAD456-72F2-214E-B176-E74C31862D77}" parentId="{AF41DBC3-40AB-3C46-9691-0FD3657C776C}">
    <text>Habe trotzdem die individuellen  ESG Ziele vom letzten Jahr behalten (dieses Jahr sind aufgrund des Bundesbonus keine aufgelistet, es ist aber das gleiche System). Alternativ könnte man sie auch auf 0 setzten da eigentlich keine neuen ESG KPIs formuliert wurden, da es ja auch keinen STI gab</text>
  </threadedComment>
  <threadedComment ref="Y39" dT="2025-04-20T18:26:10.63" personId="{5F9ACD6B-4405-B442-B690-FF297DA4C0FB}" id="{3C8C29F9-6443-804D-95CC-0FB50F4B6422}">
    <text>Performance-Korridor KPI = gesamter Performance-Korridor</text>
  </threadedComment>
  <threadedComment ref="I40" dT="2025-04-19T09:20:46.80" personId="{5F9ACD6B-4405-B442-B690-FF297DA4C0FB}" id="{FE89BD6E-979B-E64C-B1D2-E02F0FD8BC06}">
    <text>Treibhausgase ZE: 96%
Arbeitsunfälle ZE: 105%</text>
  </threadedComment>
  <threadedComment ref="K40" dT="2025-04-19T09:21:13.86" personId="{5F9ACD6B-4405-B442-B690-FF297DA4C0FB}" id="{965519B2-3CA6-CA41-B52C-D5173D26B65D}">
    <text>Klimawandel/Reduzierung der absoluten Treibhausgas-
emissionen (Scope 3) um 3 %</text>
  </threadedComment>
  <threadedComment ref="R40" dT="2025-04-19T09:22:27.60" personId="{5F9ACD6B-4405-B442-B690-FF297DA4C0FB}" id="{7B466840-CF7D-0B48-82EC-D8A920F451D1}">
    <text xml:space="preserve">Sicherheit/Kennzahl MAQ (Arbeitsunfälle (&gt;1 Arbeitstag) x 1 Mio./Arbeitsstunden) kleiner 2.2 </text>
  </threadedComment>
  <threadedComment ref="AI40" dT="2025-04-19T10:00:05.11" personId="{5F9ACD6B-4405-B442-B690-FF297DA4C0FB}" id="{B27649E0-146A-A14C-B166-AEDC2162DBD3}">
    <text xml:space="preserve">Durch die beschriebene Umstellung des vorherigen LTIP mit dreijähriger Laufzeit auf den neuen LTIP mit vierjähriger Laufzeit
wurde im Geschäftsjahr 2024 kein LTIP vollständig erdient, sodass auf dieser Basis keine Auszahlung im Jahr 2025 erfolgt.
</text>
  </threadedComment>
  <threadedComment ref="AK40" dT="2025-05-06T07:42:45.43" personId="{5F9ACD6B-4405-B442-B690-FF297DA4C0FB}" id="{D1633E33-AA8D-D942-B78E-8269B8836A42}">
    <text xml:space="preserve">Erhöhung der Öko-Effizienz der Treibhausgas-Emissionen_x000D_
(Scope 1+2) um 6,6 %, bezogen auf die Wertschöpfung_x000D_
</text>
  </threadedComment>
  <threadedComment ref="E41" dT="2025-04-19T08:16:45.47" personId="{5F9ACD6B-4405-B442-B690-FF297DA4C0FB}" id="{F506D4FC-E950-F24B-94E7-A7C8BE96176A}">
    <text>Aufgrund der entsprechenden Möglichkeit zieht der Aufsichtsrat für die Geschäftsjahre 2024 und 2025 ausschließlich den Diversity-Index heran; voraussichtlich ab dem
Geschäftsjahr 2026 wird der Aufsichtsrat auch wieder den Stimmungsindex heranziehen.</text>
  </threadedComment>
  <threadedComment ref="F41" dT="2025-04-19T08:14:41.19" personId="{5F9ACD6B-4405-B442-B690-FF297DA4C0FB}" id="{8765A32C-E23E-BF45-8354-9319DA1B7444}">
    <text>Gibt im Grunde sogar zwei ESG multiplier</text>
  </threadedComment>
  <threadedComment ref="I41" dT="2025-04-19T08:20:40.02" personId="{5F9ACD6B-4405-B442-B690-FF297DA4C0FB}" id="{5430D754-E560-AB45-A4E9-D9DA26476D07}">
    <text>Berechnet nach Seite 12/13
Governance-Faktor 1,0
Dekarbonisierungsindex 0,78
Diversity-Index 1,3</text>
  </threadedComment>
  <threadedComment ref="AI41" dT="2025-05-06T08:18:44.82" personId="{5F9ACD6B-4405-B442-B690-FF297DA4C0FB}" id="{DEC4B6F2-6AA2-1541-8D47-3509FB8196ED}">
    <text>21-24
Nur 2024 69% ZE</text>
  </threadedComment>
  <threadedComment ref="D42" dT="2025-05-06T08:34:33.04" personId="{5F9ACD6B-4405-B442-B690-FF297DA4C0FB}" id="{2FD1DF36-7DB0-684A-93D8-D9F11A591DB5}">
    <text xml:space="preserve">CEO
</text>
  </threadedComment>
  <threadedComment ref="I42" dT="2025-04-16T16:34:19.89" personId="{5F9ACD6B-4405-B442-B690-FF297DA4C0FB}" id="{BCCF86DC-B668-FD49-BDEC-BB7588CA947C}">
    <text>An sich 132, aber durch cap begrenzt</text>
  </threadedComment>
  <threadedComment ref="AD42" dT="2025-04-16T16:22:42.25" personId="{5F9ACD6B-4405-B442-B690-FF297DA4C0FB}" id="{13BDC159-CDBD-104F-AED8-D141D95D0A23}">
    <text>Ziel CEO</text>
  </threadedComment>
  <threadedComment ref="AE42" dT="2025-04-16T17:07:24.69" personId="{5F9ACD6B-4405-B442-B690-FF297DA4C0FB}" id="{96CE67A1-5F67-B146-9558-CD41B3D15DAA}">
    <text>CO2-Intensität des Bestands
&gt; Durchschnittlicher Primärenergiebedarf der Neubauten
&gt; Barrierearme (Teil-)Modernisierungen
&gt; Customer-Satisfication-Index (CSI)
&gt; Zufriedenheit der Mitarbeiterinnen und Mitarbeiter
&gt; Anteil weiblicher Führungskräfte
ZE nur ESG 169,17
Einzelne punkte nach oben genannter Reihenfolge:
200%, 200%, 91,7%, 200%, 200%, 0%</text>
  </threadedComment>
  <threadedComment ref="AI42" dT="2025-05-06T08:32:22.47" personId="{5F9ACD6B-4405-B442-B690-FF297DA4C0FB}" id="{2A9E058C-CDCA-6844-998F-A7FEE5EF31F7}">
    <text>Sustainability Performance Index ZE 169,17, besteht aus folgenden KPIs und den dazugehörigen Zielerreichungen
CO₂-Intensität: 200,0%
Durchschnittlicher Primärenergiebedarf der Neubauten: 200,0%
Barrierearme (Teil-)Modernisierungen: 91,7%
CSI (Customer Satisfaction Index): 200,0%
Zufriedenheit der Mitarbeiter und Mitarbeiterinnen: 200,0%
Anteil weiblicher Führungskräfte: 0,0%</text>
  </threadedComment>
  <threadedComment ref="AK42" dT="2025-05-14T14:28:47.89" personId="{5F9ACD6B-4405-B442-B690-FF297DA4C0FB}" id="{90171CD5-AEFD-AD48-BBB4-FC61656C3DB0}">
    <text>die CO2-Intensität des Bestands</text>
  </threadedComment>
  <threadedComment ref="AS42" dT="2025-04-16T17:24:35.30" personId="{5F9ACD6B-4405-B442-B690-FF297DA4C0FB}" id="{7F4F6CDC-B028-A24E-9CB3-09B863D8B1FF}">
    <text>25%*10%
25%*20%
25%*10%</text>
  </threadedComment>
  <threadedComment ref="D43" dT="2025-04-17T10:40:26.81" personId="{5F9ACD6B-4405-B442-B690-FF297DA4C0FB}" id="{847664E9-44F2-9645-AD88-3AE63F95BE8E}">
    <text>S.8 gemittelt (ZGI)</text>
  </threadedComment>
  <threadedComment ref="F43" dT="2025-04-17T10:47:45.29" personId="{5F9ACD6B-4405-B442-B690-FF297DA4C0FB}" id="{312E062C-3F8C-4542-A107-2C6F670CB43A}">
    <text>Keine ESG Ziele</text>
  </threadedComment>
  <threadedComment ref="I43" dT="2025-05-06T09:32:39.89" personId="{5F9ACD6B-4405-B442-B690-FF297DA4C0FB}" id="{EC666C76-2772-3D4A-85ED-4F019D8DFC48}">
    <text>S.35</text>
  </threadedComment>
  <threadedComment ref="AE43" dT="2025-04-17T10:54:49.59" personId="{5F9ACD6B-4405-B442-B690-FF297DA4C0FB}" id="{E06B826A-CC82-3242-B226-FF4437B1CF2E}">
    <text xml:space="preserve">(i) Scope 1 und 2 THG Emissionen (ii) Scope 3 THG Emissionen - beide
gleich stark gewichtet
Anteil Frauen in einer (i) Senior Contributor 1-Rolle (ii) Senior Contributor
2-Rolle (iii) Executive Contributor 1-Rolle (iv) Executive Contributor 2-
Rolle - </text>
  </threadedComment>
  <threadedComment ref="AH43" dT="2025-04-17T10:57:18.80" personId="{5F9ACD6B-4405-B442-B690-FF297DA4C0FB}" id="{13B7BA06-2B00-3D4C-B7B0-E39B24CA1F4F}">
    <text>Für alle die schon auf dem neuen Vergütungssystem sind sind die KPIs gleich. Der CEO hat aber teilweise noch andere KPIs, aber nur weil andere Mitglieder noch auf dem alten System sind. Aber es gibt unterschiedlicher Auszahlungen bei dem gleichen erreichtem Wert (CPO zu CEO), aber gleiche KPI</text>
  </threadedComment>
  <threadedComment ref="AI43" dT="2025-05-06T09:39:00.78" personId="{5F9ACD6B-4405-B442-B690-FF297DA4C0FB}" id="{9EF98660-EA1A-EC44-B68D-57F3890412E9}">
    <text xml:space="preserve">Bezieht sich auf die LTI 2019 (mit einem noch anderen System), von den neueren Tranchen ist keine ZE angegeben.
</text>
  </threadedComment>
  <threadedComment ref="AK43" dT="2025-04-17T11:24:31.76" personId="{5F9ACD6B-4405-B442-B690-FF297DA4C0FB}" id="{ECFB4A06-FACF-5740-9B8D-57F67919BF75}">
    <text>(i) Scope 1 und 2 THG Emissionen (ii) Scope 3 THG Emissionen - beide
gleich stark gewichtet</text>
  </threadedComment>
  <threadedComment ref="AL43" dT="2025-04-17T11:25:13.63" personId="{5F9ACD6B-4405-B442-B690-FF297DA4C0FB}" id="{C6355060-C5A5-394D-8258-91CD7C98C99F}">
    <text>Je 25% des ESG Faktors</text>
  </threadedComment>
  <threadedComment ref="AR43" dT="2025-04-17T11:26:00.88" personId="{5F9ACD6B-4405-B442-B690-FF297DA4C0FB}" id="{650F6D44-CDD1-1340-A327-3BC73F9B16D7}">
    <text>Anteil Frauen in einer (i) Senior Contributor 1-Rolle (ii) Senior Contributor
2-Rolle (iii) Executive Contributor 1-Rolle (iv) Executive Contributor 2-
Rolle - alle gleich stark gewichtet</text>
  </threadedComment>
  <threadedComment ref="AS43" dT="2025-04-17T11:27:12.81" personId="{5F9ACD6B-4405-B442-B690-FF297DA4C0FB}" id="{FE0A6C56-9BEE-5949-B65A-AD9D2932D7F8}">
    <text>50% des ESG Faktors, 12,5 % pro spezifischer KPI</text>
  </threadedComment>
  <threadedComment ref="AW43" dT="2025-04-17T11:28:09.81" personId="{5F9ACD6B-4405-B442-B690-FF297DA4C0FB}" id="{E8877E69-BB01-1C48-A474-8736460D4543}">
    <text>Anteil Frauen in einer (i) Senior Contributor 1-Rolle (ii) Senior Contributor
2-Rolle (iii) Executive Contributor 1-Rolle (iv) Executive Contributor 2-
Rolle - alle gleich stark gewichtet</text>
  </threadedComment>
  <threadedComment ref="AX43" dT="2025-04-17T11:27:55.09" personId="{5F9ACD6B-4405-B442-B690-FF297DA4C0FB}" id="{84D94E60-7AD0-4641-8E24-015965DD12B1}">
    <text xml:space="preserve">50% des ESG Faktors </text>
  </threadedComment>
  <threadedComment ref="AZ43" dT="2025-05-14T13:02:50.06" personId="{5F9ACD6B-4405-B442-B690-FF297DA4C0FB}" id="{4BD5DBB1-8B95-934B-B49E-B050C36F60E1}">
    <text>LTI besteht aus Aktien und Optionen, Cap ist 200 % des Aktienkurses bei Zuteilung
250 % des Aktienkurses bei Zuteilung für Optionen</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1B766-FCE6-CE42-9C85-A939B184CAFF}">
  <sheetPr>
    <tabColor theme="4"/>
  </sheetPr>
  <dimension ref="A1:BA43"/>
  <sheetViews>
    <sheetView showGridLines="0" tabSelected="1" zoomScale="70" zoomScaleNormal="70" workbookViewId="0">
      <pane xSplit="3" ySplit="3" topLeftCell="AS4" activePane="bottomRight" state="frozen"/>
      <selection pane="topRight" activeCell="D1" sqref="D1"/>
      <selection pane="bottomLeft" activeCell="A4" sqref="A4"/>
      <selection pane="bottomRight" activeCell="AZ21" sqref="AZ21"/>
    </sheetView>
  </sheetViews>
  <sheetFormatPr baseColWidth="10" defaultColWidth="8.83203125" defaultRowHeight="14.5" x14ac:dyDescent="0.35"/>
  <cols>
    <col min="1" max="1" width="23.33203125" style="2" customWidth="1"/>
    <col min="2" max="2" width="8.6640625" style="2" bestFit="1" customWidth="1"/>
    <col min="3" max="3" width="23.33203125" style="2" customWidth="1"/>
    <col min="4" max="4" width="54.1640625" style="2" bestFit="1" customWidth="1"/>
    <col min="5" max="5" width="29.5" style="2" customWidth="1"/>
    <col min="6" max="6" width="35" style="2" customWidth="1"/>
    <col min="7" max="7" width="34.5" style="2" customWidth="1"/>
    <col min="8" max="8" width="45.6640625" style="2" customWidth="1"/>
    <col min="9" max="9" width="29" style="2" customWidth="1"/>
    <col min="10" max="10" width="23.33203125" style="2" customWidth="1"/>
    <col min="11" max="11" width="30.5" style="2" bestFit="1" customWidth="1"/>
    <col min="12" max="12" width="36.33203125" style="2" bestFit="1" customWidth="1"/>
    <col min="13" max="15" width="23.33203125" style="2" customWidth="1"/>
    <col min="16" max="16" width="33.33203125" style="2" bestFit="1" customWidth="1"/>
    <col min="17" max="17" width="39.5" style="2" bestFit="1" customWidth="1"/>
    <col min="18" max="20" width="23.33203125" style="2" customWidth="1"/>
    <col min="21" max="21" width="37.6640625" style="2" customWidth="1"/>
    <col min="22" max="22" width="23.33203125" style="2" customWidth="1"/>
    <col min="23" max="23" width="32.83203125" style="2" customWidth="1"/>
    <col min="24" max="24" width="25.1640625" style="2" customWidth="1"/>
    <col min="25" max="26" width="23.33203125" style="2" customWidth="1"/>
    <col min="27" max="27" width="34.6640625" style="2" bestFit="1" customWidth="1"/>
    <col min="28" max="30" width="23.33203125" style="2" customWidth="1"/>
    <col min="31" max="31" width="28.83203125" style="2" bestFit="1" customWidth="1"/>
    <col min="32" max="33" width="23.33203125" style="2" customWidth="1"/>
    <col min="34" max="34" width="46.5" style="2" customWidth="1"/>
    <col min="35" max="35" width="23.33203125" style="1" customWidth="1"/>
    <col min="36" max="43" width="23.33203125" style="2" customWidth="1"/>
    <col min="44" max="44" width="28.83203125" style="2" customWidth="1"/>
    <col min="45" max="45" width="23.5" style="2" customWidth="1"/>
    <col min="46" max="46" width="17.5" style="2" customWidth="1"/>
    <col min="47" max="47" width="21.83203125" style="2" customWidth="1"/>
    <col min="48" max="48" width="40.33203125" style="2" customWidth="1"/>
    <col min="49" max="49" width="19.5" style="2" customWidth="1"/>
    <col min="50" max="50" width="29.1640625" style="2" customWidth="1"/>
    <col min="51" max="51" width="20.6640625" style="2" customWidth="1"/>
    <col min="52" max="52" width="21.83203125" style="28" customWidth="1"/>
    <col min="53" max="53" width="50.6640625" style="1" customWidth="1"/>
    <col min="54" max="16384" width="8.83203125" style="1"/>
  </cols>
  <sheetData>
    <row r="1" spans="1:53" x14ac:dyDescent="0.35">
      <c r="A1" s="1"/>
      <c r="B1" s="16"/>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J1" s="1"/>
      <c r="AK1" s="1"/>
      <c r="AL1" s="1"/>
      <c r="AM1" s="1"/>
      <c r="AN1" s="1"/>
      <c r="AO1" s="1"/>
      <c r="AP1" s="1"/>
      <c r="AQ1" s="1"/>
      <c r="AR1" s="1"/>
      <c r="AS1" s="1"/>
      <c r="AT1" s="1"/>
      <c r="AU1" s="1"/>
      <c r="AV1" s="1"/>
      <c r="AW1" s="1"/>
      <c r="AX1" s="1"/>
      <c r="AY1" s="1"/>
      <c r="AZ1" s="25"/>
    </row>
    <row r="2" spans="1:53" s="15" customFormat="1" ht="12" x14ac:dyDescent="0.3">
      <c r="D2" s="15" t="s">
        <v>39</v>
      </c>
      <c r="E2" s="15" t="s">
        <v>40</v>
      </c>
      <c r="F2" s="15" t="s">
        <v>41</v>
      </c>
      <c r="G2" s="15" t="s">
        <v>39</v>
      </c>
      <c r="H2" s="15" t="s">
        <v>42</v>
      </c>
      <c r="I2" s="15" t="s">
        <v>39</v>
      </c>
      <c r="J2" s="15" t="s">
        <v>42</v>
      </c>
      <c r="K2" s="15" t="s">
        <v>42</v>
      </c>
      <c r="L2" s="15" t="s">
        <v>39</v>
      </c>
      <c r="M2" s="15" t="s">
        <v>43</v>
      </c>
      <c r="N2" s="15" t="s">
        <v>39</v>
      </c>
      <c r="O2" s="15" t="s">
        <v>42</v>
      </c>
      <c r="P2" s="15" t="s">
        <v>42</v>
      </c>
      <c r="Q2" s="15" t="s">
        <v>39</v>
      </c>
      <c r="R2" s="15" t="s">
        <v>43</v>
      </c>
      <c r="S2" s="15" t="s">
        <v>39</v>
      </c>
      <c r="T2" s="15" t="s">
        <v>42</v>
      </c>
      <c r="U2" s="15" t="s">
        <v>42</v>
      </c>
      <c r="V2" s="15" t="s">
        <v>39</v>
      </c>
      <c r="W2" s="15" t="s">
        <v>43</v>
      </c>
      <c r="X2" s="15" t="s">
        <v>39</v>
      </c>
      <c r="Y2" s="15" t="s">
        <v>39</v>
      </c>
      <c r="Z2" s="15" t="s">
        <v>44</v>
      </c>
      <c r="AA2" s="15" t="s">
        <v>39</v>
      </c>
      <c r="AB2" s="15" t="s">
        <v>45</v>
      </c>
      <c r="AC2" s="15" t="s">
        <v>41</v>
      </c>
      <c r="AD2" s="15" t="s">
        <v>39</v>
      </c>
      <c r="AE2" s="15" t="s">
        <v>45</v>
      </c>
      <c r="AF2" s="15" t="s">
        <v>41</v>
      </c>
      <c r="AG2" s="15" t="s">
        <v>39</v>
      </c>
      <c r="AH2" s="15" t="s">
        <v>42</v>
      </c>
      <c r="AI2" s="15" t="s">
        <v>39</v>
      </c>
      <c r="AJ2" s="15" t="s">
        <v>42</v>
      </c>
      <c r="AK2" s="15" t="s">
        <v>42</v>
      </c>
      <c r="AL2" s="15" t="s">
        <v>39</v>
      </c>
      <c r="AM2" s="15" t="s">
        <v>43</v>
      </c>
      <c r="AN2" s="15" t="s">
        <v>39</v>
      </c>
      <c r="AO2" s="15" t="s">
        <v>42</v>
      </c>
      <c r="AP2" s="15" t="s">
        <v>42</v>
      </c>
      <c r="AQ2" s="15" t="s">
        <v>39</v>
      </c>
      <c r="AR2" s="15" t="s">
        <v>43</v>
      </c>
      <c r="AS2" s="15" t="s">
        <v>39</v>
      </c>
      <c r="AT2" s="15" t="s">
        <v>42</v>
      </c>
      <c r="AU2" s="15" t="s">
        <v>42</v>
      </c>
      <c r="AV2" s="15" t="s">
        <v>39</v>
      </c>
      <c r="AW2" s="15" t="s">
        <v>43</v>
      </c>
      <c r="AX2" s="15" t="s">
        <v>39</v>
      </c>
      <c r="AY2" s="15" t="s">
        <v>39</v>
      </c>
      <c r="AZ2" s="26" t="s">
        <v>44</v>
      </c>
    </row>
    <row r="3" spans="1:53" x14ac:dyDescent="0.35">
      <c r="A3" s="14" t="s">
        <v>46</v>
      </c>
      <c r="B3" s="14" t="s">
        <v>47</v>
      </c>
      <c r="C3" s="14" t="s">
        <v>48</v>
      </c>
      <c r="D3" s="12" t="s">
        <v>49</v>
      </c>
      <c r="E3" s="12" t="s">
        <v>50</v>
      </c>
      <c r="F3" s="12" t="s">
        <v>51</v>
      </c>
      <c r="G3" s="12" t="s">
        <v>52</v>
      </c>
      <c r="H3" s="12" t="s">
        <v>53</v>
      </c>
      <c r="I3" s="12" t="s">
        <v>54</v>
      </c>
      <c r="J3" s="10" t="s">
        <v>55</v>
      </c>
      <c r="K3" s="10" t="s">
        <v>56</v>
      </c>
      <c r="L3" s="10" t="s">
        <v>57</v>
      </c>
      <c r="M3" s="10" t="s">
        <v>58</v>
      </c>
      <c r="N3" s="10" t="s">
        <v>59</v>
      </c>
      <c r="O3" s="9" t="s">
        <v>60</v>
      </c>
      <c r="P3" s="9" t="s">
        <v>61</v>
      </c>
      <c r="Q3" s="9" t="s">
        <v>62</v>
      </c>
      <c r="R3" s="9" t="s">
        <v>63</v>
      </c>
      <c r="S3" s="9" t="s">
        <v>64</v>
      </c>
      <c r="T3" s="13" t="s">
        <v>65</v>
      </c>
      <c r="U3" s="13" t="s">
        <v>66</v>
      </c>
      <c r="V3" s="13" t="s">
        <v>67</v>
      </c>
      <c r="W3" s="13" t="s">
        <v>68</v>
      </c>
      <c r="X3" s="13" t="s">
        <v>69</v>
      </c>
      <c r="Y3" s="12" t="s">
        <v>70</v>
      </c>
      <c r="Z3" s="12" t="s">
        <v>71</v>
      </c>
      <c r="AA3" s="11" t="s">
        <v>72</v>
      </c>
      <c r="AB3" s="11" t="s">
        <v>73</v>
      </c>
      <c r="AC3" s="11" t="s">
        <v>74</v>
      </c>
      <c r="AD3" s="5" t="s">
        <v>75</v>
      </c>
      <c r="AE3" s="5" t="s">
        <v>76</v>
      </c>
      <c r="AF3" s="5" t="s">
        <v>77</v>
      </c>
      <c r="AG3" s="5" t="s">
        <v>78</v>
      </c>
      <c r="AH3" s="5" t="s">
        <v>79</v>
      </c>
      <c r="AI3" s="5" t="s">
        <v>80</v>
      </c>
      <c r="AJ3" s="10" t="s">
        <v>81</v>
      </c>
      <c r="AK3" s="10" t="s">
        <v>82</v>
      </c>
      <c r="AL3" s="10" t="s">
        <v>83</v>
      </c>
      <c r="AM3" s="10" t="s">
        <v>84</v>
      </c>
      <c r="AN3" s="10" t="s">
        <v>85</v>
      </c>
      <c r="AO3" s="9" t="s">
        <v>86</v>
      </c>
      <c r="AP3" s="9" t="s">
        <v>87</v>
      </c>
      <c r="AQ3" s="9" t="s">
        <v>88</v>
      </c>
      <c r="AR3" s="9" t="s">
        <v>89</v>
      </c>
      <c r="AS3" s="9" t="s">
        <v>90</v>
      </c>
      <c r="AT3" s="8" t="s">
        <v>91</v>
      </c>
      <c r="AU3" s="8" t="s">
        <v>92</v>
      </c>
      <c r="AV3" s="7" t="s">
        <v>93</v>
      </c>
      <c r="AW3" s="6" t="s">
        <v>94</v>
      </c>
      <c r="AX3" s="6" t="s">
        <v>95</v>
      </c>
      <c r="AY3" s="5" t="s">
        <v>96</v>
      </c>
      <c r="AZ3" s="27" t="s">
        <v>278</v>
      </c>
      <c r="BA3" s="5" t="s">
        <v>97</v>
      </c>
    </row>
    <row r="4" spans="1:53" x14ac:dyDescent="0.35">
      <c r="A4" s="37" t="s">
        <v>98</v>
      </c>
      <c r="B4" s="2" t="s">
        <v>0</v>
      </c>
      <c r="C4" s="2">
        <v>2024</v>
      </c>
      <c r="D4" s="3">
        <v>25</v>
      </c>
      <c r="E4" s="2">
        <v>2</v>
      </c>
      <c r="F4" s="2">
        <v>2</v>
      </c>
      <c r="G4" s="2">
        <f>20/3</f>
        <v>6.666666666666667</v>
      </c>
      <c r="H4" s="2">
        <v>0</v>
      </c>
      <c r="I4" s="2">
        <v>164</v>
      </c>
      <c r="J4" s="2">
        <v>0</v>
      </c>
      <c r="K4" s="2">
        <v>0</v>
      </c>
      <c r="O4" s="2">
        <v>1</v>
      </c>
      <c r="P4" s="2">
        <v>1</v>
      </c>
      <c r="Q4" s="2">
        <f>20/3/2</f>
        <v>3.3333333333333335</v>
      </c>
      <c r="T4" s="2">
        <v>1</v>
      </c>
      <c r="U4" s="2">
        <v>0</v>
      </c>
      <c r="V4" s="2">
        <v>0</v>
      </c>
      <c r="W4" s="2" t="s">
        <v>99</v>
      </c>
      <c r="X4" s="2">
        <f>20/3/2</f>
        <v>3.3333333333333335</v>
      </c>
      <c r="Y4" s="2">
        <v>180</v>
      </c>
      <c r="Z4" s="2" t="s">
        <v>100</v>
      </c>
      <c r="AB4" s="2">
        <v>0</v>
      </c>
      <c r="AD4" s="2">
        <v>33</v>
      </c>
      <c r="AE4" s="2">
        <v>2</v>
      </c>
      <c r="AF4" s="2">
        <v>2</v>
      </c>
      <c r="AG4" s="2">
        <v>20</v>
      </c>
      <c r="AH4" s="2">
        <v>0</v>
      </c>
      <c r="AI4" s="1" t="s">
        <v>101</v>
      </c>
      <c r="AJ4" s="2">
        <v>1</v>
      </c>
      <c r="AK4" s="2">
        <v>1</v>
      </c>
      <c r="AL4" s="2">
        <v>10</v>
      </c>
      <c r="AO4" s="2">
        <v>1</v>
      </c>
      <c r="AP4" s="2">
        <v>0</v>
      </c>
      <c r="AR4" s="18" t="s">
        <v>102</v>
      </c>
      <c r="AS4" s="2">
        <v>10</v>
      </c>
      <c r="AT4" s="2">
        <v>1</v>
      </c>
      <c r="AU4" s="2">
        <v>0</v>
      </c>
      <c r="AW4" s="39" t="s">
        <v>102</v>
      </c>
      <c r="AX4" s="2">
        <v>10</v>
      </c>
      <c r="AY4" s="2">
        <v>200</v>
      </c>
      <c r="AZ4" s="2">
        <v>200</v>
      </c>
      <c r="BA4" s="29" t="s">
        <v>103</v>
      </c>
    </row>
    <row r="5" spans="1:53" x14ac:dyDescent="0.35">
      <c r="A5" s="37" t="s">
        <v>1</v>
      </c>
      <c r="B5" s="2" t="s">
        <v>0</v>
      </c>
      <c r="C5" s="2">
        <v>2024</v>
      </c>
      <c r="D5" s="3">
        <v>33.33</v>
      </c>
      <c r="E5" s="2">
        <v>3</v>
      </c>
      <c r="F5" s="2">
        <v>2</v>
      </c>
      <c r="G5" s="2">
        <f>20*0.5+5*0.5*0.5</f>
        <v>11.25</v>
      </c>
      <c r="H5" s="2">
        <v>1</v>
      </c>
      <c r="I5" s="2">
        <f>(120+93)/2</f>
        <v>106.5</v>
      </c>
      <c r="J5" s="2">
        <v>1</v>
      </c>
      <c r="K5" s="2">
        <v>1</v>
      </c>
      <c r="L5" s="2">
        <f>10*0.5</f>
        <v>5</v>
      </c>
      <c r="M5" s="2" t="s">
        <v>104</v>
      </c>
      <c r="N5" s="2">
        <v>1.125</v>
      </c>
      <c r="O5" s="2">
        <v>1</v>
      </c>
      <c r="P5" s="2">
        <v>0</v>
      </c>
      <c r="R5" s="2" t="s">
        <v>105</v>
      </c>
      <c r="S5" s="2">
        <f>10*0.5</f>
        <v>5</v>
      </c>
      <c r="T5" s="2">
        <v>0</v>
      </c>
      <c r="U5" s="2">
        <v>0</v>
      </c>
      <c r="Y5" s="2">
        <v>200</v>
      </c>
      <c r="Z5" s="2" t="s">
        <v>106</v>
      </c>
      <c r="AB5" s="2">
        <v>0</v>
      </c>
      <c r="AD5" s="2">
        <v>33.33</v>
      </c>
      <c r="AE5" s="2">
        <v>0</v>
      </c>
      <c r="AG5" s="2">
        <v>0</v>
      </c>
      <c r="AH5" s="2">
        <v>0</v>
      </c>
      <c r="AI5" s="1">
        <v>96</v>
      </c>
      <c r="AJ5" s="2">
        <v>0</v>
      </c>
      <c r="AK5" s="2">
        <v>0</v>
      </c>
      <c r="AO5" s="2">
        <v>0</v>
      </c>
      <c r="AP5" s="2">
        <v>0</v>
      </c>
      <c r="AT5" s="2">
        <v>0</v>
      </c>
      <c r="AU5" s="2">
        <v>0</v>
      </c>
      <c r="AY5" s="2">
        <v>150</v>
      </c>
      <c r="AZ5" s="2">
        <v>250</v>
      </c>
      <c r="BA5" s="2" t="s">
        <v>107</v>
      </c>
    </row>
    <row r="6" spans="1:53" ht="21.75" customHeight="1" x14ac:dyDescent="0.35">
      <c r="A6" s="4" t="s">
        <v>2</v>
      </c>
      <c r="B6" s="2" t="s">
        <v>0</v>
      </c>
      <c r="C6" s="2">
        <v>2024</v>
      </c>
      <c r="D6" s="3">
        <v>25</v>
      </c>
      <c r="E6" s="2">
        <v>4</v>
      </c>
      <c r="F6" s="2">
        <v>1</v>
      </c>
      <c r="G6" s="36">
        <f>1/3*100</f>
        <v>33.333333333333329</v>
      </c>
      <c r="H6" s="2">
        <v>1</v>
      </c>
      <c r="I6" s="2">
        <v>137.72</v>
      </c>
      <c r="J6" s="2">
        <v>1</v>
      </c>
      <c r="K6" s="2">
        <v>1</v>
      </c>
      <c r="O6" s="2">
        <v>1</v>
      </c>
      <c r="P6" s="2">
        <v>1</v>
      </c>
      <c r="R6" s="2" t="s">
        <v>108</v>
      </c>
      <c r="T6" s="2">
        <v>1</v>
      </c>
      <c r="U6" s="2">
        <v>0</v>
      </c>
      <c r="W6" s="2" t="s">
        <v>109</v>
      </c>
      <c r="Y6" s="2">
        <v>150</v>
      </c>
      <c r="Z6" s="2" t="s">
        <v>110</v>
      </c>
      <c r="AB6" s="2">
        <v>0</v>
      </c>
      <c r="AD6" s="2">
        <v>45</v>
      </c>
      <c r="AE6" s="2">
        <v>5</v>
      </c>
      <c r="AF6" s="3" t="s">
        <v>111</v>
      </c>
      <c r="AG6" s="3" t="s">
        <v>112</v>
      </c>
      <c r="AH6" s="2">
        <v>1</v>
      </c>
      <c r="AI6" s="1">
        <f>4850/2559*100</f>
        <v>189.52715904650256</v>
      </c>
      <c r="AJ6" s="2">
        <v>1</v>
      </c>
      <c r="AK6" s="2">
        <v>1</v>
      </c>
      <c r="AO6" s="2">
        <v>1</v>
      </c>
      <c r="AP6" s="2">
        <v>1</v>
      </c>
      <c r="AR6" s="2" t="s">
        <v>108</v>
      </c>
      <c r="AT6" s="2">
        <v>1</v>
      </c>
      <c r="AU6" s="2">
        <v>1</v>
      </c>
      <c r="AW6" s="2" t="s">
        <v>109</v>
      </c>
      <c r="AY6" s="2">
        <v>150</v>
      </c>
      <c r="AZ6" s="2">
        <v>200</v>
      </c>
      <c r="BA6" s="2" t="s">
        <v>276</v>
      </c>
    </row>
    <row r="7" spans="1:53" x14ac:dyDescent="0.35">
      <c r="A7" s="4" t="s">
        <v>3</v>
      </c>
      <c r="B7" s="2" t="s">
        <v>0</v>
      </c>
      <c r="C7" s="2">
        <v>2024</v>
      </c>
      <c r="D7" s="3">
        <v>25</v>
      </c>
      <c r="E7" s="2">
        <v>2</v>
      </c>
      <c r="F7" s="2">
        <v>2</v>
      </c>
      <c r="G7" s="2">
        <f>25*2/3</f>
        <v>16.666666666666668</v>
      </c>
      <c r="H7" s="2">
        <v>0</v>
      </c>
      <c r="I7" s="2">
        <v>80</v>
      </c>
      <c r="J7" s="2">
        <v>0</v>
      </c>
      <c r="K7" s="2">
        <v>0</v>
      </c>
      <c r="O7" s="2">
        <v>1</v>
      </c>
      <c r="P7" s="2">
        <v>1</v>
      </c>
      <c r="Q7" s="2">
        <f>25*(1/3)</f>
        <v>8.3333333333333321</v>
      </c>
      <c r="R7" s="2" t="s">
        <v>113</v>
      </c>
      <c r="S7" s="2">
        <f>25*(1/3)</f>
        <v>8.3333333333333321</v>
      </c>
      <c r="T7" s="2">
        <v>0</v>
      </c>
      <c r="U7" s="2">
        <v>0</v>
      </c>
      <c r="Y7" s="2">
        <v>200</v>
      </c>
      <c r="Z7" s="2" t="s">
        <v>114</v>
      </c>
      <c r="AB7" s="2">
        <v>0</v>
      </c>
      <c r="AD7" s="3">
        <v>41</v>
      </c>
      <c r="AE7" s="3">
        <v>1</v>
      </c>
      <c r="AF7" s="3">
        <v>2</v>
      </c>
      <c r="AG7" s="3">
        <f>100/3</f>
        <v>33.333333333333336</v>
      </c>
      <c r="AH7" s="3">
        <v>0</v>
      </c>
      <c r="AI7" s="32">
        <v>113.1</v>
      </c>
      <c r="AJ7" s="3">
        <v>1</v>
      </c>
      <c r="AK7" s="3">
        <v>1</v>
      </c>
      <c r="AL7" s="3">
        <f>(1/3)*100</f>
        <v>33.333333333333329</v>
      </c>
      <c r="AO7" s="2">
        <v>0</v>
      </c>
      <c r="AP7" s="2">
        <v>0</v>
      </c>
      <c r="AT7" s="2">
        <v>0</v>
      </c>
      <c r="AU7" s="2">
        <v>0</v>
      </c>
      <c r="AY7" s="2">
        <v>200</v>
      </c>
      <c r="AZ7" s="2">
        <v>200</v>
      </c>
      <c r="BA7" s="2" t="s">
        <v>115</v>
      </c>
    </row>
    <row r="8" spans="1:53" ht="15.75" customHeight="1" x14ac:dyDescent="0.35">
      <c r="A8" s="4" t="s">
        <v>4</v>
      </c>
      <c r="B8" s="2" t="s">
        <v>0</v>
      </c>
      <c r="C8" s="2">
        <v>2024</v>
      </c>
      <c r="D8" s="3">
        <v>25</v>
      </c>
      <c r="E8" s="2">
        <v>1</v>
      </c>
      <c r="F8" s="2">
        <v>1</v>
      </c>
      <c r="G8" s="2">
        <f>1/8*100</f>
        <v>12.5</v>
      </c>
      <c r="H8" s="2">
        <v>1</v>
      </c>
      <c r="I8" s="2">
        <v>79.11</v>
      </c>
      <c r="J8" s="2">
        <v>0</v>
      </c>
      <c r="K8" s="2">
        <v>0</v>
      </c>
      <c r="O8" s="2">
        <v>1</v>
      </c>
      <c r="P8" s="2">
        <v>0</v>
      </c>
      <c r="R8" s="23" t="s">
        <v>116</v>
      </c>
      <c r="T8" s="2">
        <v>1</v>
      </c>
      <c r="U8" s="2">
        <v>0</v>
      </c>
      <c r="W8" s="18" t="s">
        <v>116</v>
      </c>
      <c r="Y8" s="2">
        <v>200</v>
      </c>
      <c r="Z8" s="2" t="s">
        <v>117</v>
      </c>
      <c r="AB8" s="2">
        <v>0</v>
      </c>
      <c r="AD8" s="3">
        <v>50</v>
      </c>
      <c r="AE8" s="3">
        <v>5</v>
      </c>
      <c r="AF8" s="3">
        <v>2</v>
      </c>
      <c r="AG8" s="3">
        <v>20</v>
      </c>
      <c r="AH8" s="3">
        <v>0</v>
      </c>
      <c r="AI8" s="32">
        <v>21.33</v>
      </c>
      <c r="AJ8" s="3">
        <v>1</v>
      </c>
      <c r="AK8" s="3">
        <v>1</v>
      </c>
      <c r="AL8" s="3" t="s">
        <v>118</v>
      </c>
      <c r="AO8" s="2">
        <v>1</v>
      </c>
      <c r="AP8" s="2">
        <v>0</v>
      </c>
      <c r="AR8" s="30" t="s">
        <v>119</v>
      </c>
      <c r="AS8" s="30" t="s">
        <v>120</v>
      </c>
      <c r="AT8" s="2">
        <v>0</v>
      </c>
      <c r="AU8" s="2">
        <v>0</v>
      </c>
      <c r="AX8" s="3"/>
      <c r="AY8" s="2">
        <v>200</v>
      </c>
      <c r="AZ8" s="2">
        <v>250</v>
      </c>
      <c r="BA8" s="30" t="s">
        <v>121</v>
      </c>
    </row>
    <row r="9" spans="1:53" ht="26.25" customHeight="1" x14ac:dyDescent="0.35">
      <c r="A9" s="4" t="s">
        <v>5</v>
      </c>
      <c r="B9" s="2" t="s">
        <v>0</v>
      </c>
      <c r="C9" s="2">
        <v>2024</v>
      </c>
      <c r="D9" s="3">
        <f>(15+28)/2</f>
        <v>21.5</v>
      </c>
      <c r="E9" s="2">
        <v>1</v>
      </c>
      <c r="F9" s="2">
        <v>2</v>
      </c>
      <c r="G9" s="2">
        <f>(30/3)/2</f>
        <v>5</v>
      </c>
      <c r="H9" s="2">
        <v>1</v>
      </c>
      <c r="I9" s="2">
        <v>118.6</v>
      </c>
      <c r="J9" s="2">
        <v>0</v>
      </c>
      <c r="K9" s="2">
        <v>0</v>
      </c>
      <c r="O9" s="2">
        <v>0</v>
      </c>
      <c r="P9" s="2">
        <v>0</v>
      </c>
      <c r="T9" s="2">
        <v>0</v>
      </c>
      <c r="U9" s="2">
        <v>0</v>
      </c>
      <c r="Y9" s="2">
        <v>200</v>
      </c>
      <c r="Z9" s="2" t="s">
        <v>122</v>
      </c>
      <c r="AB9" s="2">
        <v>0</v>
      </c>
      <c r="AD9" s="3">
        <f>(28+56)/2</f>
        <v>42</v>
      </c>
      <c r="AE9" s="3">
        <v>6</v>
      </c>
      <c r="AF9" s="3">
        <v>2</v>
      </c>
      <c r="AG9" s="3">
        <v>40</v>
      </c>
      <c r="AH9" s="3">
        <v>0</v>
      </c>
      <c r="AI9" s="32">
        <v>148.9</v>
      </c>
      <c r="AJ9" s="3">
        <v>1</v>
      </c>
      <c r="AK9" s="3">
        <v>1</v>
      </c>
      <c r="AL9" s="3">
        <v>5</v>
      </c>
      <c r="AM9" s="2" t="s">
        <v>123</v>
      </c>
      <c r="AN9" s="2" t="s">
        <v>124</v>
      </c>
      <c r="AO9" s="2">
        <v>1</v>
      </c>
      <c r="AP9" s="2">
        <v>0</v>
      </c>
      <c r="AR9" s="18" t="s">
        <v>125</v>
      </c>
      <c r="AS9" s="2" t="s">
        <v>126</v>
      </c>
      <c r="AT9" s="2">
        <v>1</v>
      </c>
      <c r="AU9" s="2">
        <v>0</v>
      </c>
      <c r="AW9" s="18" t="s">
        <v>127</v>
      </c>
      <c r="AX9" s="3" t="s">
        <v>126</v>
      </c>
      <c r="AY9" s="2">
        <v>200</v>
      </c>
      <c r="AZ9" s="2">
        <v>200</v>
      </c>
      <c r="BA9" s="2" t="s">
        <v>128</v>
      </c>
    </row>
    <row r="10" spans="1:53" ht="16.5" customHeight="1" x14ac:dyDescent="0.35">
      <c r="A10" s="4" t="s">
        <v>6</v>
      </c>
      <c r="B10" s="2" t="s">
        <v>0</v>
      </c>
      <c r="C10" s="2">
        <v>2024</v>
      </c>
      <c r="D10" s="3">
        <f>(27+30)/2</f>
        <v>28.5</v>
      </c>
      <c r="E10" s="2">
        <v>9</v>
      </c>
      <c r="F10" s="2">
        <v>2</v>
      </c>
      <c r="G10" s="2">
        <f>(50)*0.5+0.5*10*(3+(1/3))/8</f>
        <v>27.083333333333332</v>
      </c>
      <c r="H10" s="2">
        <v>1</v>
      </c>
      <c r="I10" s="2">
        <f>(1+0.909)/2*100</f>
        <v>95.45</v>
      </c>
      <c r="J10" s="2">
        <v>1</v>
      </c>
      <c r="K10" s="2">
        <v>0</v>
      </c>
      <c r="M10" s="2" t="s">
        <v>129</v>
      </c>
      <c r="N10" s="2" t="s">
        <v>130</v>
      </c>
      <c r="O10" s="2">
        <v>1</v>
      </c>
      <c r="P10" s="2">
        <v>1</v>
      </c>
      <c r="Q10" s="2">
        <f>50*(1/5)*0.5</f>
        <v>5</v>
      </c>
      <c r="R10" s="2" t="s">
        <v>131</v>
      </c>
      <c r="S10" s="2" t="s">
        <v>132</v>
      </c>
      <c r="T10" s="2">
        <v>1</v>
      </c>
      <c r="U10" s="2">
        <v>1</v>
      </c>
      <c r="V10" s="2">
        <v>0.625</v>
      </c>
      <c r="W10" s="2" t="s">
        <v>133</v>
      </c>
      <c r="X10" s="2">
        <v>5</v>
      </c>
      <c r="Y10" s="2">
        <v>180</v>
      </c>
      <c r="Z10" s="2" t="s">
        <v>134</v>
      </c>
      <c r="AB10" s="2">
        <v>0</v>
      </c>
      <c r="AD10" s="3">
        <f>(31+36)/2</f>
        <v>33.5</v>
      </c>
      <c r="AE10" s="3">
        <v>2</v>
      </c>
      <c r="AF10" s="3">
        <v>2</v>
      </c>
      <c r="AG10" s="3">
        <v>50</v>
      </c>
      <c r="AH10" s="3">
        <v>0</v>
      </c>
      <c r="AI10" s="32">
        <f>32.5</f>
        <v>32.5</v>
      </c>
      <c r="AJ10" s="3">
        <v>1</v>
      </c>
      <c r="AK10" s="3">
        <v>1</v>
      </c>
      <c r="AL10" s="3">
        <v>25</v>
      </c>
      <c r="AM10" s="30" t="s">
        <v>135</v>
      </c>
      <c r="AN10" s="2">
        <v>25</v>
      </c>
      <c r="AO10" s="2">
        <v>0</v>
      </c>
      <c r="AP10" s="2">
        <v>0</v>
      </c>
      <c r="AT10" s="2">
        <v>0</v>
      </c>
      <c r="AU10" s="2">
        <v>0</v>
      </c>
      <c r="AX10" s="3"/>
      <c r="AY10" s="2">
        <v>180</v>
      </c>
      <c r="AZ10" s="2">
        <v>180</v>
      </c>
      <c r="BA10" s="30" t="s">
        <v>136</v>
      </c>
    </row>
    <row r="11" spans="1:53" ht="16.5" customHeight="1" x14ac:dyDescent="0.35">
      <c r="A11" s="4" t="s">
        <v>7</v>
      </c>
      <c r="B11" s="2" t="s">
        <v>0</v>
      </c>
      <c r="C11" s="2">
        <v>2024</v>
      </c>
      <c r="D11" s="3">
        <v>27</v>
      </c>
      <c r="E11" s="2">
        <v>5</v>
      </c>
      <c r="F11" s="2">
        <v>1</v>
      </c>
      <c r="G11" s="2">
        <f>5/9*100</f>
        <v>55.555555555555557</v>
      </c>
      <c r="H11" s="2">
        <v>1</v>
      </c>
      <c r="I11" s="2">
        <f>(25.6*0.95)</f>
        <v>24.32</v>
      </c>
      <c r="J11" s="2">
        <v>0</v>
      </c>
      <c r="K11" s="2">
        <v>0</v>
      </c>
      <c r="T11" s="2">
        <v>1</v>
      </c>
      <c r="U11" s="2">
        <v>1</v>
      </c>
      <c r="W11" s="30" t="s">
        <v>137</v>
      </c>
      <c r="Y11" s="2">
        <v>200</v>
      </c>
      <c r="Z11" s="30" t="s">
        <v>138</v>
      </c>
      <c r="AB11" s="2">
        <v>0</v>
      </c>
      <c r="AD11" s="3">
        <v>35</v>
      </c>
      <c r="AE11" s="3">
        <v>3</v>
      </c>
      <c r="AF11" s="3">
        <v>1</v>
      </c>
      <c r="AG11" s="3">
        <v>100</v>
      </c>
      <c r="AH11" s="3">
        <v>0</v>
      </c>
      <c r="AI11" s="32">
        <v>69</v>
      </c>
      <c r="AJ11" s="3">
        <v>1</v>
      </c>
      <c r="AK11" s="3">
        <v>1</v>
      </c>
      <c r="AL11" s="3"/>
      <c r="AO11" s="2">
        <v>1</v>
      </c>
      <c r="AP11" s="2">
        <v>0</v>
      </c>
      <c r="AR11" s="19" t="s">
        <v>139</v>
      </c>
      <c r="AT11" s="2">
        <v>1</v>
      </c>
      <c r="AU11" s="2">
        <v>0</v>
      </c>
      <c r="AW11" s="19" t="s">
        <v>140</v>
      </c>
      <c r="AX11" s="3"/>
      <c r="AY11" s="2">
        <v>200</v>
      </c>
      <c r="AZ11" s="2">
        <v>250</v>
      </c>
      <c r="BA11" s="30" t="s">
        <v>141</v>
      </c>
    </row>
    <row r="12" spans="1:53" ht="14.25" customHeight="1" x14ac:dyDescent="0.35">
      <c r="A12" s="4" t="s">
        <v>8</v>
      </c>
      <c r="B12" s="2" t="s">
        <v>0</v>
      </c>
      <c r="C12" s="2">
        <v>2024</v>
      </c>
      <c r="D12" s="3">
        <f>(1116165/(1674247+1116165+538445))*0.4*100</f>
        <v>13.411990962663761</v>
      </c>
      <c r="E12" s="2">
        <v>8</v>
      </c>
      <c r="F12" s="2">
        <v>2</v>
      </c>
      <c r="G12" s="2">
        <f>26</f>
        <v>26</v>
      </c>
      <c r="H12" s="2">
        <v>1</v>
      </c>
      <c r="I12" s="2">
        <f>117</f>
        <v>117</v>
      </c>
      <c r="J12" s="2">
        <v>1</v>
      </c>
      <c r="K12" s="3">
        <v>1</v>
      </c>
      <c r="L12" s="3">
        <v>2.4</v>
      </c>
      <c r="M12" s="30" t="s">
        <v>142</v>
      </c>
      <c r="N12" s="2">
        <v>2.4</v>
      </c>
      <c r="O12" s="2">
        <v>1</v>
      </c>
      <c r="P12" s="2">
        <v>1</v>
      </c>
      <c r="Q12" s="2">
        <v>6</v>
      </c>
      <c r="R12" s="19" t="s">
        <v>143</v>
      </c>
      <c r="S12" s="2" t="s">
        <v>144</v>
      </c>
      <c r="T12" s="2">
        <v>1</v>
      </c>
      <c r="U12" s="2">
        <v>1</v>
      </c>
      <c r="V12" s="2">
        <v>2</v>
      </c>
      <c r="W12" s="19" t="s">
        <v>145</v>
      </c>
      <c r="X12" s="3" t="s">
        <v>146</v>
      </c>
      <c r="Y12" s="2">
        <v>150</v>
      </c>
      <c r="Z12" s="30" t="s">
        <v>147</v>
      </c>
      <c r="AB12" s="2">
        <v>0</v>
      </c>
      <c r="AD12" s="3">
        <f>(1116165/(1674247+1116165+538445))*0.6*100</f>
        <v>20.11798644399564</v>
      </c>
      <c r="AE12" s="3">
        <v>8</v>
      </c>
      <c r="AF12" s="3">
        <v>2</v>
      </c>
      <c r="AG12" s="3">
        <f>26</f>
        <v>26</v>
      </c>
      <c r="AH12" s="3">
        <v>1</v>
      </c>
      <c r="AI12" s="3">
        <f>117</f>
        <v>117</v>
      </c>
      <c r="AJ12" s="2">
        <v>1</v>
      </c>
      <c r="AK12" s="3">
        <v>1</v>
      </c>
      <c r="AL12" s="3">
        <v>2.4</v>
      </c>
      <c r="AM12" s="30" t="s">
        <v>142</v>
      </c>
      <c r="AN12" s="2">
        <v>2.4</v>
      </c>
      <c r="AO12" s="2">
        <v>1</v>
      </c>
      <c r="AP12" s="2">
        <v>1</v>
      </c>
      <c r="AQ12" s="2">
        <v>6</v>
      </c>
      <c r="AR12" s="19" t="s">
        <v>143</v>
      </c>
      <c r="AS12" s="2" t="s">
        <v>144</v>
      </c>
      <c r="AT12" s="2">
        <v>1</v>
      </c>
      <c r="AU12" s="2">
        <v>1</v>
      </c>
      <c r="AV12" s="2">
        <v>2</v>
      </c>
      <c r="AW12" s="19" t="s">
        <v>145</v>
      </c>
      <c r="AX12" s="3" t="s">
        <v>146</v>
      </c>
      <c r="AY12" s="2">
        <v>150</v>
      </c>
      <c r="AZ12" s="2">
        <v>150</v>
      </c>
      <c r="BA12" s="30" t="s">
        <v>148</v>
      </c>
    </row>
    <row r="13" spans="1:53" ht="22.5" customHeight="1" x14ac:dyDescent="0.35">
      <c r="A13" s="4" t="s">
        <v>9</v>
      </c>
      <c r="B13" s="2" t="s">
        <v>0</v>
      </c>
      <c r="C13" s="2">
        <v>2024</v>
      </c>
      <c r="D13" s="3">
        <f>1.167/3.5*100</f>
        <v>33.342857142857149</v>
      </c>
      <c r="E13" s="2">
        <v>1</v>
      </c>
      <c r="F13" s="2">
        <v>2</v>
      </c>
      <c r="G13" s="2">
        <v>10</v>
      </c>
      <c r="H13" s="2">
        <v>0</v>
      </c>
      <c r="I13" s="2">
        <v>64.8</v>
      </c>
      <c r="J13" s="2">
        <v>0</v>
      </c>
      <c r="K13" s="2">
        <v>0</v>
      </c>
      <c r="O13" s="2">
        <v>1</v>
      </c>
      <c r="P13" s="2">
        <v>10</v>
      </c>
      <c r="T13" s="2">
        <v>0</v>
      </c>
      <c r="U13" s="2">
        <v>0</v>
      </c>
      <c r="Y13" s="2">
        <v>200</v>
      </c>
      <c r="Z13" s="2" t="s">
        <v>149</v>
      </c>
      <c r="AB13" s="2">
        <v>0</v>
      </c>
      <c r="AD13" s="3">
        <f>0.783/3.5*100</f>
        <v>22.371428571428574</v>
      </c>
      <c r="AE13" s="3">
        <v>3</v>
      </c>
      <c r="AF13" s="3">
        <v>2</v>
      </c>
      <c r="AG13" s="3">
        <v>20</v>
      </c>
      <c r="AH13" s="3">
        <v>0</v>
      </c>
      <c r="AI13" s="32">
        <v>0</v>
      </c>
      <c r="AJ13" s="3">
        <v>1</v>
      </c>
      <c r="AK13" s="3">
        <v>1</v>
      </c>
      <c r="AL13" s="3">
        <f>20/3</f>
        <v>6.666666666666667</v>
      </c>
      <c r="AM13" s="2" t="s">
        <v>150</v>
      </c>
      <c r="AN13" s="33">
        <f>20/3</f>
        <v>6.666666666666667</v>
      </c>
      <c r="AO13" s="2">
        <v>1</v>
      </c>
      <c r="AR13" s="18" t="s">
        <v>151</v>
      </c>
      <c r="AS13" s="2">
        <f>20/3</f>
        <v>6.666666666666667</v>
      </c>
      <c r="AT13" s="2">
        <v>1</v>
      </c>
      <c r="AU13" s="2">
        <v>0</v>
      </c>
      <c r="AW13" s="18" t="s">
        <v>152</v>
      </c>
      <c r="AX13" s="2">
        <f>20/3</f>
        <v>6.666666666666667</v>
      </c>
      <c r="AY13" s="2">
        <v>175</v>
      </c>
      <c r="AZ13" s="2">
        <v>200</v>
      </c>
      <c r="BA13" s="2" t="s">
        <v>153</v>
      </c>
    </row>
    <row r="14" spans="1:53" ht="15.75" customHeight="1" x14ac:dyDescent="0.35">
      <c r="A14" s="4" t="s">
        <v>10</v>
      </c>
      <c r="B14" s="2" t="s">
        <v>0</v>
      </c>
      <c r="C14" s="2">
        <v>2024</v>
      </c>
      <c r="D14" s="38">
        <f>(20+34)/2</f>
        <v>27</v>
      </c>
      <c r="E14" s="2">
        <v>2</v>
      </c>
      <c r="F14" s="2">
        <v>2</v>
      </c>
      <c r="G14" s="2">
        <v>25</v>
      </c>
      <c r="H14" s="2">
        <v>0</v>
      </c>
      <c r="I14" s="2">
        <v>96</v>
      </c>
      <c r="J14" s="2">
        <v>1</v>
      </c>
      <c r="K14" s="2">
        <v>0</v>
      </c>
      <c r="M14" s="30" t="s">
        <v>154</v>
      </c>
      <c r="N14" s="2">
        <v>20</v>
      </c>
      <c r="O14" s="2">
        <v>1</v>
      </c>
      <c r="P14" s="2">
        <v>1</v>
      </c>
      <c r="Q14" s="2">
        <v>5</v>
      </c>
      <c r="T14" s="2">
        <v>0</v>
      </c>
      <c r="U14" s="2">
        <v>0</v>
      </c>
      <c r="Y14" s="2">
        <v>200</v>
      </c>
      <c r="Z14" s="2" t="s">
        <v>155</v>
      </c>
      <c r="AB14" s="2">
        <v>0</v>
      </c>
      <c r="AD14" s="3">
        <f>(35+50)/2</f>
        <v>42.5</v>
      </c>
      <c r="AE14" s="3">
        <v>2</v>
      </c>
      <c r="AF14" s="3">
        <v>2</v>
      </c>
      <c r="AG14" s="3">
        <v>25</v>
      </c>
      <c r="AH14" s="3">
        <v>0</v>
      </c>
      <c r="AI14" s="32">
        <v>190</v>
      </c>
      <c r="AJ14" s="3">
        <v>1</v>
      </c>
      <c r="AK14" s="3">
        <v>1</v>
      </c>
      <c r="AL14" s="3">
        <f>25/2</f>
        <v>12.5</v>
      </c>
      <c r="AO14" s="2">
        <v>1</v>
      </c>
      <c r="AP14" s="2">
        <v>0</v>
      </c>
      <c r="AR14" s="19" t="s">
        <v>156</v>
      </c>
      <c r="AS14" s="2">
        <f>25/2</f>
        <v>12.5</v>
      </c>
      <c r="AT14" s="2">
        <v>1</v>
      </c>
      <c r="AU14" s="2">
        <v>0</v>
      </c>
      <c r="AW14" s="18" t="s">
        <v>156</v>
      </c>
      <c r="AX14" s="2">
        <f>25/2</f>
        <v>12.5</v>
      </c>
      <c r="AY14" s="2">
        <v>200</v>
      </c>
      <c r="AZ14" s="2">
        <v>300</v>
      </c>
      <c r="BA14" s="30" t="s">
        <v>157</v>
      </c>
    </row>
    <row r="15" spans="1:53" ht="24.75" customHeight="1" x14ac:dyDescent="0.35">
      <c r="A15" s="4" t="s">
        <v>11</v>
      </c>
      <c r="B15" s="2" t="s">
        <v>0</v>
      </c>
      <c r="C15" s="2">
        <v>2024</v>
      </c>
      <c r="D15" s="3">
        <f>(2370/(3750+2370+3555))*100</f>
        <v>24.496124031007753</v>
      </c>
      <c r="E15" s="2">
        <v>1</v>
      </c>
      <c r="F15" s="2">
        <v>2</v>
      </c>
      <c r="G15" s="2">
        <v>15</v>
      </c>
      <c r="H15" s="2">
        <v>1</v>
      </c>
      <c r="I15" s="2">
        <v>103.3</v>
      </c>
      <c r="J15" s="2">
        <v>0</v>
      </c>
      <c r="K15" s="2">
        <v>0</v>
      </c>
      <c r="O15" s="2">
        <v>0</v>
      </c>
      <c r="P15" s="2">
        <v>0</v>
      </c>
      <c r="T15" s="2">
        <v>1</v>
      </c>
      <c r="U15" s="2">
        <v>0</v>
      </c>
      <c r="W15" s="30" t="s">
        <v>158</v>
      </c>
      <c r="X15" s="2">
        <v>15</v>
      </c>
      <c r="Y15" s="2">
        <v>150</v>
      </c>
      <c r="Z15" s="30" t="s">
        <v>159</v>
      </c>
      <c r="AB15" s="2">
        <v>0</v>
      </c>
      <c r="AD15" s="3">
        <f>(3555/(3750+2370+3555))*100</f>
        <v>36.744186046511629</v>
      </c>
      <c r="AE15" s="3">
        <v>3</v>
      </c>
      <c r="AF15" s="3">
        <v>2</v>
      </c>
      <c r="AG15" s="3">
        <v>33.33</v>
      </c>
      <c r="AH15" s="3">
        <v>0</v>
      </c>
      <c r="AI15" s="34">
        <f>100</f>
        <v>100</v>
      </c>
      <c r="AJ15" s="3">
        <v>1</v>
      </c>
      <c r="AK15" s="3">
        <v>1</v>
      </c>
      <c r="AL15" s="3">
        <v>13.33</v>
      </c>
      <c r="AO15" s="2">
        <v>1</v>
      </c>
      <c r="AP15" s="2">
        <v>0</v>
      </c>
      <c r="AR15" s="18" t="s">
        <v>160</v>
      </c>
      <c r="AS15" s="2">
        <v>6.66</v>
      </c>
      <c r="AT15" s="2">
        <v>1</v>
      </c>
      <c r="AU15" s="2">
        <v>0</v>
      </c>
      <c r="AW15" s="19" t="s">
        <v>161</v>
      </c>
      <c r="AX15" s="3" t="s">
        <v>162</v>
      </c>
      <c r="AY15" s="2">
        <v>150</v>
      </c>
      <c r="AZ15" s="2">
        <v>150</v>
      </c>
      <c r="BA15" s="30" t="s">
        <v>163</v>
      </c>
    </row>
    <row r="16" spans="1:53" ht="25.5" customHeight="1" x14ac:dyDescent="0.35">
      <c r="A16" s="4" t="s">
        <v>12</v>
      </c>
      <c r="B16" s="2" t="s">
        <v>0</v>
      </c>
      <c r="C16" s="2">
        <v>2024</v>
      </c>
      <c r="D16" s="3">
        <v>45</v>
      </c>
      <c r="E16" s="2">
        <v>2</v>
      </c>
      <c r="F16" s="2">
        <v>2</v>
      </c>
      <c r="G16" s="33">
        <f>1/3/4*100*2</f>
        <v>16.666666666666664</v>
      </c>
      <c r="H16" s="2">
        <v>1</v>
      </c>
      <c r="I16" s="2">
        <v>177.35</v>
      </c>
      <c r="J16" s="2">
        <v>0</v>
      </c>
      <c r="K16" s="2">
        <v>0</v>
      </c>
      <c r="O16" s="2">
        <v>0</v>
      </c>
      <c r="P16" s="2">
        <v>0</v>
      </c>
      <c r="T16" s="2">
        <v>1</v>
      </c>
      <c r="U16" s="2">
        <v>1</v>
      </c>
      <c r="V16" s="2">
        <v>8.33</v>
      </c>
      <c r="W16" s="2" t="s">
        <v>277</v>
      </c>
      <c r="X16" s="2">
        <f>1/3/4*100</f>
        <v>8.3333333333333321</v>
      </c>
      <c r="Y16" s="2">
        <v>200</v>
      </c>
      <c r="Z16" s="30" t="s">
        <v>164</v>
      </c>
      <c r="AB16" s="2">
        <v>0</v>
      </c>
      <c r="AD16" s="3">
        <v>25</v>
      </c>
      <c r="AE16" s="3">
        <v>4</v>
      </c>
      <c r="AF16" s="3">
        <v>2</v>
      </c>
      <c r="AG16" s="3">
        <v>25</v>
      </c>
      <c r="AH16" s="3">
        <v>0</v>
      </c>
      <c r="AI16" s="32">
        <v>113.13</v>
      </c>
      <c r="AJ16" s="3">
        <v>1</v>
      </c>
      <c r="AK16" s="3">
        <v>1</v>
      </c>
      <c r="AL16" s="3">
        <v>6.25</v>
      </c>
      <c r="AO16" s="2">
        <v>1</v>
      </c>
      <c r="AP16" s="2">
        <v>1</v>
      </c>
      <c r="AQ16" s="2">
        <v>6.25</v>
      </c>
      <c r="AS16" s="3"/>
      <c r="AT16" s="2">
        <v>0</v>
      </c>
      <c r="AU16" s="2">
        <v>0</v>
      </c>
      <c r="AX16" s="3"/>
      <c r="AY16" s="2">
        <v>242</v>
      </c>
      <c r="AZ16" s="2">
        <v>400</v>
      </c>
      <c r="BA16" s="2" t="s">
        <v>165</v>
      </c>
    </row>
    <row r="17" spans="1:53" ht="27" customHeight="1" x14ac:dyDescent="0.35">
      <c r="A17" s="4" t="s">
        <v>13</v>
      </c>
      <c r="B17" s="2" t="s">
        <v>0</v>
      </c>
      <c r="C17" s="2">
        <v>2024</v>
      </c>
      <c r="D17" s="3">
        <f>80/(100+35+80+100)*100</f>
        <v>25.396825396825395</v>
      </c>
      <c r="E17" s="2">
        <v>3</v>
      </c>
      <c r="F17" s="2">
        <v>2</v>
      </c>
      <c r="G17" s="2">
        <v>30</v>
      </c>
      <c r="H17" s="2">
        <v>0</v>
      </c>
      <c r="I17" s="2">
        <v>101.55</v>
      </c>
      <c r="J17" s="2">
        <v>1</v>
      </c>
      <c r="K17" s="2">
        <v>1</v>
      </c>
      <c r="L17" s="2">
        <v>10</v>
      </c>
      <c r="O17" s="2">
        <v>1</v>
      </c>
      <c r="P17" s="2">
        <v>1</v>
      </c>
      <c r="Q17" s="2">
        <v>10</v>
      </c>
      <c r="T17" s="2">
        <v>1</v>
      </c>
      <c r="U17" s="2">
        <v>0</v>
      </c>
      <c r="W17" s="2" t="s">
        <v>166</v>
      </c>
      <c r="X17" s="2">
        <v>10</v>
      </c>
      <c r="Y17" s="2">
        <v>125</v>
      </c>
      <c r="Z17" s="30" t="s">
        <v>167</v>
      </c>
      <c r="AB17" s="2">
        <v>0</v>
      </c>
      <c r="AC17" s="2">
        <v>0</v>
      </c>
      <c r="AD17" s="3">
        <f>100/(100+35+80+100)*100</f>
        <v>31.746031746031743</v>
      </c>
      <c r="AE17" s="3">
        <v>0</v>
      </c>
      <c r="AF17" s="3"/>
      <c r="AG17" s="3">
        <v>0</v>
      </c>
      <c r="AH17" s="3"/>
      <c r="AI17" s="34">
        <v>0</v>
      </c>
      <c r="AJ17" s="3">
        <v>0</v>
      </c>
      <c r="AK17" s="3">
        <v>0</v>
      </c>
      <c r="AL17" s="3"/>
      <c r="AO17" s="2">
        <v>0</v>
      </c>
      <c r="AP17" s="2">
        <v>0</v>
      </c>
      <c r="AS17" s="3"/>
      <c r="AT17" s="2">
        <v>0</v>
      </c>
      <c r="AU17" s="2">
        <v>0</v>
      </c>
      <c r="AX17" s="3"/>
      <c r="AY17" s="2">
        <v>250</v>
      </c>
      <c r="AZ17" s="2">
        <v>250</v>
      </c>
      <c r="BA17" s="2" t="s">
        <v>168</v>
      </c>
    </row>
    <row r="18" spans="1:53" ht="24" customHeight="1" x14ac:dyDescent="0.35">
      <c r="A18" s="4" t="s">
        <v>14</v>
      </c>
      <c r="B18" s="2" t="s">
        <v>0</v>
      </c>
      <c r="C18" s="2">
        <v>2024</v>
      </c>
      <c r="D18" s="2">
        <f>1800000/6902046*100</f>
        <v>26.079223465042105</v>
      </c>
      <c r="E18" s="2">
        <v>3</v>
      </c>
      <c r="F18" s="3" t="s">
        <v>169</v>
      </c>
      <c r="G18" s="3" t="s">
        <v>170</v>
      </c>
      <c r="H18" s="2">
        <v>1</v>
      </c>
      <c r="I18" s="2">
        <v>146</v>
      </c>
      <c r="J18" s="2">
        <v>1</v>
      </c>
      <c r="K18" s="2">
        <v>1</v>
      </c>
      <c r="L18" s="2">
        <f>0.3333*50</f>
        <v>16.664999999999999</v>
      </c>
      <c r="M18" s="2" t="s">
        <v>171</v>
      </c>
      <c r="N18" s="2">
        <f>0.3333*50</f>
        <v>16.664999999999999</v>
      </c>
      <c r="O18" s="2">
        <v>0</v>
      </c>
      <c r="P18" s="2">
        <v>0</v>
      </c>
      <c r="T18" s="2">
        <v>0</v>
      </c>
      <c r="U18" s="2">
        <v>0</v>
      </c>
      <c r="Y18" s="2">
        <v>180</v>
      </c>
      <c r="Z18" s="2" t="s">
        <v>172</v>
      </c>
      <c r="AB18" s="2">
        <v>0</v>
      </c>
      <c r="AD18" s="2">
        <f>2000000/6902046*100</f>
        <v>28.976914961157895</v>
      </c>
      <c r="AE18" s="3">
        <v>2</v>
      </c>
      <c r="AF18" s="3">
        <v>2</v>
      </c>
      <c r="AG18" s="3">
        <f>2/4*100</f>
        <v>50</v>
      </c>
      <c r="AH18" s="3">
        <v>0</v>
      </c>
      <c r="AI18" s="32">
        <v>200</v>
      </c>
      <c r="AJ18" s="3">
        <v>0</v>
      </c>
      <c r="AK18" s="3">
        <v>0</v>
      </c>
      <c r="AL18" s="3"/>
      <c r="AO18" s="2">
        <v>1</v>
      </c>
      <c r="AP18" s="2">
        <v>1</v>
      </c>
      <c r="AQ18" s="2">
        <f>1/4*100</f>
        <v>25</v>
      </c>
      <c r="AR18" s="2" t="s">
        <v>173</v>
      </c>
      <c r="AS18" s="3">
        <f>1/4*100</f>
        <v>25</v>
      </c>
      <c r="AT18" s="2">
        <v>0</v>
      </c>
      <c r="AU18" s="2">
        <v>0</v>
      </c>
      <c r="AX18" s="3"/>
      <c r="AY18" s="2">
        <v>150</v>
      </c>
      <c r="AZ18" s="2">
        <v>200</v>
      </c>
      <c r="BA18" s="2" t="s">
        <v>174</v>
      </c>
    </row>
    <row r="19" spans="1:53" x14ac:dyDescent="0.35">
      <c r="A19" s="4" t="s">
        <v>15</v>
      </c>
      <c r="B19" s="2" t="s">
        <v>0</v>
      </c>
      <c r="C19" s="2">
        <v>2024</v>
      </c>
      <c r="D19" s="3">
        <v>26</v>
      </c>
      <c r="E19" s="2">
        <v>3</v>
      </c>
      <c r="F19" s="3" t="s">
        <v>169</v>
      </c>
      <c r="G19" s="3" t="s">
        <v>175</v>
      </c>
      <c r="H19" s="2">
        <v>0</v>
      </c>
      <c r="I19" s="2">
        <v>114</v>
      </c>
      <c r="J19" s="2">
        <v>1</v>
      </c>
      <c r="K19" s="2">
        <v>1</v>
      </c>
      <c r="M19" s="30"/>
      <c r="O19" s="2">
        <v>1</v>
      </c>
      <c r="P19" s="2">
        <v>0</v>
      </c>
      <c r="R19" s="2" t="s">
        <v>176</v>
      </c>
      <c r="S19" s="3" t="s">
        <v>177</v>
      </c>
      <c r="T19" s="2">
        <v>0</v>
      </c>
      <c r="U19" s="2">
        <v>0</v>
      </c>
      <c r="Y19" s="2">
        <v>180</v>
      </c>
      <c r="Z19" s="2" t="s">
        <v>178</v>
      </c>
      <c r="AB19" s="2">
        <v>0</v>
      </c>
      <c r="AD19" s="3">
        <v>47</v>
      </c>
      <c r="AE19" s="3">
        <v>4</v>
      </c>
      <c r="AF19" s="3">
        <v>2</v>
      </c>
      <c r="AG19" s="3">
        <v>25</v>
      </c>
      <c r="AH19" s="3">
        <v>0</v>
      </c>
      <c r="AI19" s="32">
        <v>200</v>
      </c>
      <c r="AJ19" s="3">
        <v>1</v>
      </c>
      <c r="AK19" s="3">
        <v>1</v>
      </c>
      <c r="AL19" s="3">
        <f>0.25*25</f>
        <v>6.25</v>
      </c>
      <c r="AO19" s="2">
        <v>1</v>
      </c>
      <c r="AP19" s="2">
        <v>0</v>
      </c>
      <c r="AR19" s="18" t="s">
        <v>179</v>
      </c>
      <c r="AS19" s="3" t="s">
        <v>180</v>
      </c>
      <c r="AT19" s="2">
        <v>1</v>
      </c>
      <c r="AU19" s="2">
        <v>0</v>
      </c>
      <c r="AW19" s="18" t="s">
        <v>181</v>
      </c>
      <c r="AX19" s="3">
        <v>6.25</v>
      </c>
      <c r="AY19" s="2">
        <v>150</v>
      </c>
      <c r="AZ19" s="2">
        <v>200</v>
      </c>
      <c r="BA19" s="2" t="s">
        <v>182</v>
      </c>
    </row>
    <row r="20" spans="1:53" ht="21" customHeight="1" x14ac:dyDescent="0.35">
      <c r="A20" s="4" t="s">
        <v>16</v>
      </c>
      <c r="B20" s="2" t="s">
        <v>0</v>
      </c>
      <c r="C20" s="2">
        <v>2024</v>
      </c>
      <c r="D20" s="3">
        <v>30</v>
      </c>
      <c r="E20" s="2">
        <v>2</v>
      </c>
      <c r="F20" s="2">
        <v>2</v>
      </c>
      <c r="G20" s="2">
        <v>15</v>
      </c>
      <c r="H20" s="2">
        <v>0</v>
      </c>
      <c r="I20" s="2">
        <v>120.75</v>
      </c>
      <c r="J20" s="2">
        <v>0</v>
      </c>
      <c r="K20" s="2">
        <v>0</v>
      </c>
      <c r="O20" s="2">
        <v>1</v>
      </c>
      <c r="P20" s="2">
        <v>1</v>
      </c>
      <c r="Q20" s="2">
        <f>15*0.5</f>
        <v>7.5</v>
      </c>
      <c r="R20" s="30" t="s">
        <v>183</v>
      </c>
      <c r="S20" s="2">
        <f>15*0.5</f>
        <v>7.5</v>
      </c>
      <c r="T20" s="2">
        <v>0</v>
      </c>
      <c r="U20" s="2">
        <v>0</v>
      </c>
      <c r="Y20" s="2">
        <v>150</v>
      </c>
      <c r="Z20" s="30" t="s">
        <v>184</v>
      </c>
      <c r="AB20" s="2">
        <v>0</v>
      </c>
      <c r="AD20" s="3">
        <v>40</v>
      </c>
      <c r="AE20" s="3">
        <v>1</v>
      </c>
      <c r="AF20" s="3">
        <v>2</v>
      </c>
      <c r="AG20" s="3">
        <v>25</v>
      </c>
      <c r="AH20" s="3">
        <v>0</v>
      </c>
      <c r="AI20" s="32" t="s">
        <v>185</v>
      </c>
      <c r="AJ20" s="3">
        <v>1</v>
      </c>
      <c r="AK20" s="3">
        <v>1</v>
      </c>
      <c r="AL20" s="3">
        <v>25</v>
      </c>
      <c r="AO20" s="2">
        <v>0</v>
      </c>
      <c r="AP20" s="2">
        <v>0</v>
      </c>
      <c r="AS20" s="3"/>
      <c r="AT20" s="2">
        <v>0</v>
      </c>
      <c r="AU20" s="2">
        <v>0</v>
      </c>
      <c r="AX20" s="3"/>
      <c r="AY20" s="2">
        <v>250</v>
      </c>
      <c r="AZ20" s="2">
        <v>250</v>
      </c>
      <c r="BA20" s="30" t="s">
        <v>186</v>
      </c>
    </row>
    <row r="21" spans="1:53" ht="24.75" customHeight="1" x14ac:dyDescent="0.35">
      <c r="A21" s="4" t="s">
        <v>187</v>
      </c>
      <c r="B21" s="2" t="s">
        <v>0</v>
      </c>
      <c r="C21" s="2">
        <v>2024</v>
      </c>
      <c r="D21" s="3">
        <v>31</v>
      </c>
      <c r="E21" s="2">
        <v>2</v>
      </c>
      <c r="F21" s="2">
        <v>2</v>
      </c>
      <c r="G21" s="2">
        <v>20</v>
      </c>
      <c r="H21" s="2">
        <v>0</v>
      </c>
      <c r="I21" s="2">
        <v>105.59</v>
      </c>
      <c r="J21" s="2">
        <v>0</v>
      </c>
      <c r="K21" s="2">
        <v>1</v>
      </c>
      <c r="O21" s="2">
        <v>1</v>
      </c>
      <c r="P21" s="2">
        <v>1</v>
      </c>
      <c r="Q21" s="2">
        <v>10</v>
      </c>
      <c r="R21" s="2" t="s">
        <v>188</v>
      </c>
      <c r="S21" s="2">
        <v>10</v>
      </c>
      <c r="T21" s="2">
        <v>0</v>
      </c>
      <c r="U21" s="2">
        <v>0</v>
      </c>
      <c r="Y21" s="2">
        <v>150</v>
      </c>
      <c r="Z21" s="30" t="s">
        <v>189</v>
      </c>
      <c r="AB21" s="2">
        <v>0</v>
      </c>
      <c r="AD21" s="3">
        <v>40</v>
      </c>
      <c r="AE21" s="3">
        <v>1</v>
      </c>
      <c r="AF21" s="3">
        <v>2</v>
      </c>
      <c r="AG21" s="3">
        <v>20</v>
      </c>
      <c r="AH21" s="3">
        <v>0</v>
      </c>
      <c r="AI21" s="32">
        <v>14</v>
      </c>
      <c r="AJ21" s="3">
        <v>1</v>
      </c>
      <c r="AK21" s="3">
        <v>1</v>
      </c>
      <c r="AL21" s="3">
        <v>20</v>
      </c>
      <c r="AO21" s="2">
        <v>0</v>
      </c>
      <c r="AP21" s="2">
        <v>0</v>
      </c>
      <c r="AT21" s="2">
        <v>0</v>
      </c>
      <c r="AU21" s="2">
        <v>0</v>
      </c>
      <c r="AX21" s="3"/>
      <c r="AY21" s="2">
        <v>200</v>
      </c>
      <c r="AZ21" s="2">
        <v>400</v>
      </c>
      <c r="BA21" s="30" t="s">
        <v>190</v>
      </c>
    </row>
    <row r="22" spans="1:53" x14ac:dyDescent="0.35">
      <c r="A22" s="4" t="s">
        <v>17</v>
      </c>
      <c r="B22" s="2" t="s">
        <v>0</v>
      </c>
      <c r="C22" s="2">
        <v>2024</v>
      </c>
      <c r="D22" s="3">
        <f>60*0.4</f>
        <v>24</v>
      </c>
      <c r="E22" s="2">
        <v>2</v>
      </c>
      <c r="F22" s="2">
        <v>1</v>
      </c>
      <c r="G22" s="3">
        <v>50</v>
      </c>
      <c r="H22" s="2">
        <v>1</v>
      </c>
      <c r="I22" s="2">
        <v>195.67</v>
      </c>
      <c r="J22" s="2">
        <v>0</v>
      </c>
      <c r="K22" s="2">
        <v>0</v>
      </c>
      <c r="O22" s="2">
        <v>1</v>
      </c>
      <c r="P22" s="2">
        <v>0</v>
      </c>
      <c r="R22" s="2" t="s">
        <v>191</v>
      </c>
      <c r="T22" s="2">
        <v>0</v>
      </c>
      <c r="U22" s="2">
        <v>0</v>
      </c>
      <c r="Y22" s="2">
        <v>200</v>
      </c>
      <c r="Z22" s="2" t="s">
        <v>192</v>
      </c>
      <c r="AB22" s="2">
        <v>0</v>
      </c>
      <c r="AD22" s="3">
        <f>60*0.6</f>
        <v>36</v>
      </c>
      <c r="AE22" s="3">
        <v>2</v>
      </c>
      <c r="AF22" s="3">
        <v>1</v>
      </c>
      <c r="AG22" s="3">
        <v>50</v>
      </c>
      <c r="AH22" s="3">
        <v>1</v>
      </c>
      <c r="AI22" s="3">
        <v>192</v>
      </c>
      <c r="AJ22" s="3">
        <v>0</v>
      </c>
      <c r="AK22" s="3">
        <v>0</v>
      </c>
      <c r="AL22" s="3"/>
      <c r="AO22" s="2">
        <v>1</v>
      </c>
      <c r="AP22" s="2">
        <v>0</v>
      </c>
      <c r="AR22" s="31" t="s">
        <v>191</v>
      </c>
      <c r="AS22" s="3"/>
      <c r="AT22" s="2">
        <v>0</v>
      </c>
      <c r="AU22" s="2">
        <v>0</v>
      </c>
      <c r="AX22" s="3"/>
      <c r="AY22" s="2">
        <v>200</v>
      </c>
      <c r="AZ22" s="2">
        <v>400</v>
      </c>
      <c r="BA22" s="2" t="s">
        <v>193</v>
      </c>
    </row>
    <row r="23" spans="1:53" ht="27.75" customHeight="1" x14ac:dyDescent="0.35">
      <c r="A23" s="4" t="s">
        <v>18</v>
      </c>
      <c r="B23" s="2" t="s">
        <v>0</v>
      </c>
      <c r="C23" s="2">
        <v>2024</v>
      </c>
      <c r="D23" s="3">
        <v>29</v>
      </c>
      <c r="E23" s="2">
        <v>4</v>
      </c>
      <c r="F23" s="3" t="s">
        <v>169</v>
      </c>
      <c r="G23" s="3" t="s">
        <v>194</v>
      </c>
      <c r="H23" s="2">
        <v>1</v>
      </c>
      <c r="I23" s="2">
        <v>173</v>
      </c>
      <c r="J23" s="2">
        <v>1</v>
      </c>
      <c r="K23" s="2">
        <v>1</v>
      </c>
      <c r="M23" s="30" t="s">
        <v>195</v>
      </c>
      <c r="N23" s="29" t="s">
        <v>126</v>
      </c>
      <c r="O23" s="2">
        <v>1</v>
      </c>
      <c r="P23" s="2">
        <v>0</v>
      </c>
      <c r="R23" s="30" t="s">
        <v>196</v>
      </c>
      <c r="S23" s="29">
        <v>10</v>
      </c>
      <c r="T23" s="2">
        <v>0</v>
      </c>
      <c r="U23" s="2">
        <v>0</v>
      </c>
      <c r="Y23" s="2">
        <v>200</v>
      </c>
      <c r="Z23" s="30" t="s">
        <v>197</v>
      </c>
      <c r="AB23" s="2">
        <v>0</v>
      </c>
      <c r="AD23" s="3">
        <v>42</v>
      </c>
      <c r="AE23" s="3">
        <v>1</v>
      </c>
      <c r="AF23" s="3">
        <v>2</v>
      </c>
      <c r="AG23" s="3">
        <v>25</v>
      </c>
      <c r="AH23" s="3">
        <v>0</v>
      </c>
      <c r="AI23" s="3">
        <v>200</v>
      </c>
      <c r="AJ23" s="3">
        <v>1</v>
      </c>
      <c r="AK23" s="3">
        <v>1</v>
      </c>
      <c r="AL23" s="3">
        <v>25</v>
      </c>
      <c r="AO23" s="2">
        <v>0</v>
      </c>
      <c r="AP23" s="2">
        <v>0</v>
      </c>
      <c r="AS23" s="3"/>
      <c r="AT23" s="2">
        <v>0</v>
      </c>
      <c r="AU23" s="2">
        <v>0</v>
      </c>
      <c r="AY23" s="2">
        <v>200</v>
      </c>
      <c r="AZ23" s="2">
        <v>225</v>
      </c>
      <c r="BA23" s="2" t="s">
        <v>198</v>
      </c>
    </row>
    <row r="24" spans="1:53" ht="27" customHeight="1" x14ac:dyDescent="0.35">
      <c r="A24" s="4" t="s">
        <v>19</v>
      </c>
      <c r="B24" s="2" t="s">
        <v>0</v>
      </c>
      <c r="C24" s="2">
        <v>2024</v>
      </c>
      <c r="D24" s="3">
        <f>210/(210+157.5+250)*100</f>
        <v>34.008097165991899</v>
      </c>
      <c r="E24" s="2">
        <v>2</v>
      </c>
      <c r="F24" s="2">
        <v>1</v>
      </c>
      <c r="G24" s="2">
        <f>33.33*2/5</f>
        <v>13.331999999999999</v>
      </c>
      <c r="H24" s="2">
        <v>1</v>
      </c>
      <c r="I24" s="2">
        <f>3124.8/2100*100</f>
        <v>148.80000000000001</v>
      </c>
      <c r="J24" s="2">
        <v>0</v>
      </c>
      <c r="K24" s="2">
        <v>0</v>
      </c>
      <c r="O24" s="2">
        <v>1</v>
      </c>
      <c r="P24" s="2">
        <v>0</v>
      </c>
      <c r="R24" s="2" t="s">
        <v>199</v>
      </c>
      <c r="T24" s="2">
        <v>1</v>
      </c>
      <c r="U24" s="2">
        <v>0</v>
      </c>
      <c r="W24" s="2" t="s">
        <v>200</v>
      </c>
      <c r="Y24" s="2">
        <v>150</v>
      </c>
      <c r="Z24" s="30" t="s">
        <v>201</v>
      </c>
      <c r="AB24" s="2">
        <v>0</v>
      </c>
      <c r="AD24" s="3">
        <f>250/(210+157.5+250)*100</f>
        <v>40.48582995951417</v>
      </c>
      <c r="AE24" s="3">
        <v>3</v>
      </c>
      <c r="AF24" s="3">
        <v>2</v>
      </c>
      <c r="AG24" s="3">
        <v>20</v>
      </c>
      <c r="AH24" s="3">
        <v>0</v>
      </c>
      <c r="AI24" s="32">
        <f>96.75</f>
        <v>96.75</v>
      </c>
      <c r="AJ24" s="3">
        <v>1</v>
      </c>
      <c r="AK24" s="3">
        <v>1</v>
      </c>
      <c r="AL24" s="3">
        <v>6</v>
      </c>
      <c r="AM24" s="30" t="s">
        <v>202</v>
      </c>
      <c r="AN24" s="2">
        <v>6</v>
      </c>
      <c r="AO24" s="2">
        <v>1</v>
      </c>
      <c r="AP24" s="2">
        <v>0</v>
      </c>
      <c r="AR24" s="19" t="s">
        <v>203</v>
      </c>
      <c r="AS24" s="3">
        <v>8</v>
      </c>
      <c r="AT24" s="2">
        <v>1</v>
      </c>
      <c r="AU24" s="2">
        <v>0</v>
      </c>
      <c r="AW24" s="19" t="s">
        <v>203</v>
      </c>
      <c r="AX24" s="2">
        <v>8</v>
      </c>
      <c r="AY24" s="2">
        <v>150</v>
      </c>
      <c r="AZ24" s="2">
        <v>150</v>
      </c>
      <c r="BA24" s="2" t="s">
        <v>204</v>
      </c>
    </row>
    <row r="25" spans="1:53" ht="27" customHeight="1" x14ac:dyDescent="0.35">
      <c r="A25" s="4" t="s">
        <v>20</v>
      </c>
      <c r="B25" s="2" t="s">
        <v>0</v>
      </c>
      <c r="C25" s="2">
        <v>2024</v>
      </c>
      <c r="D25" s="3">
        <v>17</v>
      </c>
      <c r="E25" s="2">
        <v>0</v>
      </c>
      <c r="G25" s="2">
        <v>0</v>
      </c>
      <c r="I25" s="2">
        <v>71.099999999999994</v>
      </c>
      <c r="J25" s="2">
        <v>0</v>
      </c>
      <c r="K25" s="2">
        <v>0</v>
      </c>
      <c r="O25" s="2">
        <v>0</v>
      </c>
      <c r="P25" s="2">
        <v>0</v>
      </c>
      <c r="T25" s="2">
        <v>0</v>
      </c>
      <c r="U25" s="2">
        <v>0</v>
      </c>
      <c r="Y25" s="2">
        <v>250</v>
      </c>
      <c r="Z25" s="30" t="s">
        <v>205</v>
      </c>
      <c r="AB25" s="2">
        <v>0</v>
      </c>
      <c r="AD25" s="3">
        <v>35</v>
      </c>
      <c r="AE25" s="3">
        <v>2</v>
      </c>
      <c r="AF25" s="3">
        <v>2</v>
      </c>
      <c r="AG25" s="3">
        <v>20</v>
      </c>
      <c r="AH25" s="3">
        <v>0</v>
      </c>
      <c r="AI25" s="32">
        <v>50</v>
      </c>
      <c r="AJ25" s="3">
        <v>1</v>
      </c>
      <c r="AK25" s="3">
        <v>1</v>
      </c>
      <c r="AL25" s="3">
        <v>10</v>
      </c>
      <c r="AO25" s="2">
        <v>1</v>
      </c>
      <c r="AP25" s="2">
        <v>0</v>
      </c>
      <c r="AR25" s="18" t="s">
        <v>206</v>
      </c>
      <c r="AS25" s="3">
        <v>10</v>
      </c>
      <c r="AT25" s="2">
        <v>1</v>
      </c>
      <c r="AU25" s="2">
        <v>0</v>
      </c>
      <c r="AW25" s="18" t="s">
        <v>207</v>
      </c>
      <c r="AX25" s="3">
        <v>10</v>
      </c>
      <c r="AY25" s="2">
        <v>150</v>
      </c>
      <c r="AZ25" s="2">
        <v>250</v>
      </c>
      <c r="BA25" s="2" t="s">
        <v>208</v>
      </c>
    </row>
    <row r="26" spans="1:53" ht="33.75" customHeight="1" x14ac:dyDescent="0.35">
      <c r="A26" s="4" t="s">
        <v>21</v>
      </c>
      <c r="B26" s="2" t="s">
        <v>0</v>
      </c>
      <c r="C26" s="2">
        <v>2024</v>
      </c>
      <c r="D26" s="3">
        <v>30</v>
      </c>
      <c r="E26" s="2">
        <v>6</v>
      </c>
      <c r="F26" s="3" t="s">
        <v>111</v>
      </c>
      <c r="G26" s="3" t="s">
        <v>209</v>
      </c>
      <c r="H26" s="2">
        <v>0</v>
      </c>
      <c r="I26" s="2">
        <v>140</v>
      </c>
      <c r="J26" s="2">
        <v>1</v>
      </c>
      <c r="K26" s="2">
        <v>1</v>
      </c>
      <c r="O26" s="2">
        <v>1</v>
      </c>
      <c r="P26" s="2">
        <v>1</v>
      </c>
      <c r="R26" s="2" t="s">
        <v>210</v>
      </c>
      <c r="T26" s="2">
        <v>1</v>
      </c>
      <c r="U26" s="2">
        <v>0</v>
      </c>
      <c r="W26" s="2" t="s">
        <v>211</v>
      </c>
      <c r="Y26" s="2">
        <v>200</v>
      </c>
      <c r="Z26" s="30" t="s">
        <v>212</v>
      </c>
      <c r="AB26" s="2">
        <v>0</v>
      </c>
      <c r="AD26" s="3">
        <v>40</v>
      </c>
      <c r="AE26" s="3">
        <v>3</v>
      </c>
      <c r="AF26" s="3">
        <v>2</v>
      </c>
      <c r="AG26" s="3">
        <v>20</v>
      </c>
      <c r="AH26" s="3">
        <v>0</v>
      </c>
      <c r="AI26" s="32">
        <v>200</v>
      </c>
      <c r="AJ26" s="3">
        <v>1</v>
      </c>
      <c r="AK26" s="3">
        <v>0</v>
      </c>
      <c r="AL26" s="3"/>
      <c r="AM26" s="2" t="s">
        <v>213</v>
      </c>
      <c r="AN26" s="2" t="s">
        <v>214</v>
      </c>
      <c r="AO26" s="2">
        <v>1</v>
      </c>
      <c r="AP26" s="2">
        <v>0</v>
      </c>
      <c r="AR26" s="2" t="s">
        <v>215</v>
      </c>
      <c r="AS26" s="2">
        <v>6.66</v>
      </c>
      <c r="AT26" s="2">
        <v>0</v>
      </c>
      <c r="AU26" s="2">
        <v>0</v>
      </c>
      <c r="AY26" s="2">
        <v>200</v>
      </c>
      <c r="AZ26" s="2">
        <v>250</v>
      </c>
      <c r="BA26" s="30" t="s">
        <v>216</v>
      </c>
    </row>
    <row r="27" spans="1:53" ht="19.5" customHeight="1" x14ac:dyDescent="0.35">
      <c r="A27" s="4" t="s">
        <v>22</v>
      </c>
      <c r="B27" s="2" t="s">
        <v>0</v>
      </c>
      <c r="C27" s="2">
        <v>2024</v>
      </c>
      <c r="D27" s="2">
        <v>54</v>
      </c>
      <c r="E27" s="2">
        <v>3</v>
      </c>
      <c r="F27" s="2">
        <v>1</v>
      </c>
      <c r="G27" s="2">
        <f>50</f>
        <v>50</v>
      </c>
      <c r="H27" s="2">
        <v>0</v>
      </c>
      <c r="I27" s="2" t="s">
        <v>288</v>
      </c>
      <c r="J27" s="2">
        <v>1</v>
      </c>
      <c r="K27" s="2">
        <v>1</v>
      </c>
      <c r="M27" s="2" t="s">
        <v>217</v>
      </c>
      <c r="O27" s="2">
        <v>0</v>
      </c>
      <c r="P27" s="2">
        <v>0</v>
      </c>
      <c r="T27" s="2">
        <v>0</v>
      </c>
      <c r="U27" s="2">
        <v>0</v>
      </c>
      <c r="Y27" s="3" t="s">
        <v>185</v>
      </c>
      <c r="Z27" s="30" t="s">
        <v>218</v>
      </c>
      <c r="AB27" s="2">
        <v>0</v>
      </c>
      <c r="AD27" s="3">
        <v>19</v>
      </c>
      <c r="AE27" s="3">
        <v>3</v>
      </c>
      <c r="AF27" s="3">
        <v>1</v>
      </c>
      <c r="AG27" s="3">
        <v>100</v>
      </c>
      <c r="AH27" s="3">
        <v>0</v>
      </c>
      <c r="AI27" s="32">
        <v>66.099999999999994</v>
      </c>
      <c r="AJ27" s="3">
        <v>1</v>
      </c>
      <c r="AK27" s="3">
        <v>1</v>
      </c>
      <c r="AL27" s="3"/>
      <c r="AM27" s="30" t="s">
        <v>219</v>
      </c>
      <c r="AO27" s="2">
        <v>1</v>
      </c>
      <c r="AP27" s="2">
        <v>0</v>
      </c>
      <c r="AR27" s="30" t="s">
        <v>220</v>
      </c>
      <c r="AT27" s="2">
        <v>0</v>
      </c>
      <c r="AU27" s="2">
        <v>0</v>
      </c>
      <c r="AY27" s="2">
        <v>180</v>
      </c>
      <c r="AZ27" s="2">
        <v>250</v>
      </c>
      <c r="BA27" s="30" t="s">
        <v>221</v>
      </c>
    </row>
    <row r="28" spans="1:53" ht="21.75" customHeight="1" x14ac:dyDescent="0.35">
      <c r="A28" s="4" t="s">
        <v>23</v>
      </c>
      <c r="B28" s="2" t="s">
        <v>0</v>
      </c>
      <c r="C28" s="2">
        <v>2024</v>
      </c>
      <c r="D28" s="3">
        <v>21</v>
      </c>
      <c r="E28" s="2">
        <v>2</v>
      </c>
      <c r="F28" s="2">
        <v>2</v>
      </c>
      <c r="G28" s="2">
        <v>20</v>
      </c>
      <c r="H28" s="2">
        <v>0</v>
      </c>
      <c r="I28" s="2">
        <v>229.9</v>
      </c>
      <c r="J28" s="2">
        <v>1</v>
      </c>
      <c r="K28" s="2">
        <v>1</v>
      </c>
      <c r="L28" s="2">
        <v>10</v>
      </c>
      <c r="O28" s="2">
        <v>1</v>
      </c>
      <c r="P28" s="2">
        <v>0</v>
      </c>
      <c r="R28" s="2" t="s">
        <v>222</v>
      </c>
      <c r="S28" s="2">
        <v>10</v>
      </c>
      <c r="T28" s="2">
        <v>0</v>
      </c>
      <c r="U28" s="2">
        <v>0</v>
      </c>
      <c r="Y28" s="2">
        <v>240</v>
      </c>
      <c r="Z28" s="30" t="s">
        <v>223</v>
      </c>
      <c r="AB28" s="2">
        <v>0</v>
      </c>
      <c r="AD28" s="3">
        <v>34</v>
      </c>
      <c r="AE28" s="3">
        <v>2</v>
      </c>
      <c r="AF28" s="3">
        <v>2</v>
      </c>
      <c r="AG28" s="3">
        <v>20</v>
      </c>
      <c r="AH28" s="3">
        <v>0</v>
      </c>
      <c r="AI28" s="32" t="s">
        <v>265</v>
      </c>
      <c r="AJ28" s="3">
        <v>1</v>
      </c>
      <c r="AK28" s="3">
        <v>1</v>
      </c>
      <c r="AL28" s="3">
        <v>10</v>
      </c>
      <c r="AO28" s="2">
        <v>1</v>
      </c>
      <c r="AP28" s="2">
        <v>0</v>
      </c>
      <c r="AR28" s="18" t="s">
        <v>151</v>
      </c>
      <c r="AS28" s="2">
        <v>10</v>
      </c>
      <c r="AT28" s="2">
        <v>1</v>
      </c>
      <c r="AU28" s="2">
        <v>0</v>
      </c>
      <c r="AW28" s="18" t="s">
        <v>151</v>
      </c>
      <c r="AX28" s="2">
        <v>10</v>
      </c>
      <c r="AY28" s="2">
        <v>200</v>
      </c>
      <c r="AZ28" s="2">
        <v>250</v>
      </c>
      <c r="BA28" s="30" t="s">
        <v>224</v>
      </c>
    </row>
    <row r="29" spans="1:53" ht="29.25" customHeight="1" x14ac:dyDescent="0.35">
      <c r="A29" s="4" t="s">
        <v>24</v>
      </c>
      <c r="B29" s="2" t="s">
        <v>0</v>
      </c>
      <c r="C29" s="2">
        <v>2024</v>
      </c>
      <c r="D29" s="3">
        <v>12</v>
      </c>
      <c r="E29" s="2">
        <v>9</v>
      </c>
      <c r="F29" s="2">
        <v>1</v>
      </c>
      <c r="G29" s="2">
        <v>100</v>
      </c>
      <c r="H29" s="2">
        <v>0</v>
      </c>
      <c r="I29" s="2">
        <v>167</v>
      </c>
      <c r="J29" s="2">
        <v>1</v>
      </c>
      <c r="K29" s="2">
        <v>1</v>
      </c>
      <c r="O29" s="2">
        <v>1</v>
      </c>
      <c r="P29" s="2">
        <v>0</v>
      </c>
      <c r="R29" s="2" t="s">
        <v>225</v>
      </c>
      <c r="T29" s="2">
        <v>1</v>
      </c>
      <c r="U29" s="2">
        <v>1</v>
      </c>
      <c r="W29" s="2" t="s">
        <v>226</v>
      </c>
      <c r="Y29" s="2">
        <v>200</v>
      </c>
      <c r="Z29" s="30" t="s">
        <v>227</v>
      </c>
      <c r="AB29" s="2">
        <v>0</v>
      </c>
      <c r="AD29" s="3">
        <v>28</v>
      </c>
      <c r="AE29" s="3">
        <v>11</v>
      </c>
      <c r="AF29" s="3" t="s">
        <v>169</v>
      </c>
      <c r="AG29" s="3" t="s">
        <v>228</v>
      </c>
      <c r="AH29" s="3">
        <v>0</v>
      </c>
      <c r="AI29" s="32">
        <v>185</v>
      </c>
      <c r="AJ29" s="2">
        <v>1</v>
      </c>
      <c r="AK29" s="2">
        <v>1</v>
      </c>
      <c r="AL29" s="2" t="s">
        <v>229</v>
      </c>
      <c r="AO29" s="2">
        <v>1</v>
      </c>
      <c r="AP29" s="2">
        <v>0</v>
      </c>
      <c r="AR29" s="2" t="s">
        <v>225</v>
      </c>
      <c r="AT29" s="2">
        <v>1</v>
      </c>
      <c r="AU29" s="2">
        <v>1</v>
      </c>
      <c r="AW29" s="30" t="s">
        <v>230</v>
      </c>
      <c r="AX29" s="2" t="s">
        <v>231</v>
      </c>
      <c r="AY29" s="2">
        <v>200</v>
      </c>
      <c r="AZ29" s="2">
        <v>200</v>
      </c>
      <c r="BA29" s="30" t="s">
        <v>232</v>
      </c>
    </row>
    <row r="30" spans="1:53" ht="22.5" customHeight="1" x14ac:dyDescent="0.35">
      <c r="A30" s="4" t="s">
        <v>25</v>
      </c>
      <c r="B30" s="2" t="s">
        <v>0</v>
      </c>
      <c r="C30" s="2">
        <v>2024</v>
      </c>
      <c r="D30" s="2">
        <f>(1343338/2842467)*100</f>
        <v>47.259581201822222</v>
      </c>
      <c r="E30" s="2">
        <v>5</v>
      </c>
      <c r="F30" s="2">
        <v>1</v>
      </c>
      <c r="G30" s="2">
        <v>100</v>
      </c>
      <c r="H30" s="2">
        <v>0</v>
      </c>
      <c r="I30" s="2">
        <f>106*1.16</f>
        <v>122.96</v>
      </c>
      <c r="J30" s="2">
        <v>1</v>
      </c>
      <c r="K30" s="2">
        <v>1</v>
      </c>
      <c r="O30" s="2">
        <v>1</v>
      </c>
      <c r="P30" s="2">
        <v>1</v>
      </c>
      <c r="R30" s="18" t="s">
        <v>233</v>
      </c>
      <c r="T30" s="2">
        <v>1</v>
      </c>
      <c r="U30" s="2">
        <v>1</v>
      </c>
      <c r="W30" s="18" t="s">
        <v>234</v>
      </c>
      <c r="Y30" s="2">
        <v>180</v>
      </c>
      <c r="Z30" s="30" t="s">
        <v>235</v>
      </c>
      <c r="AB30" s="2">
        <v>0</v>
      </c>
      <c r="AD30" s="2">
        <f>(461610/2880726)*100</f>
        <v>16.02408559508957</v>
      </c>
      <c r="AE30" s="3">
        <v>0</v>
      </c>
      <c r="AF30" s="3"/>
      <c r="AG30" s="3">
        <v>0</v>
      </c>
      <c r="AH30" s="3">
        <v>0</v>
      </c>
      <c r="AI30" s="32">
        <v>135</v>
      </c>
      <c r="AJ30" s="3">
        <v>0</v>
      </c>
      <c r="AK30" s="3">
        <v>0</v>
      </c>
      <c r="AL30" s="3"/>
      <c r="AO30" s="2">
        <v>0</v>
      </c>
      <c r="AP30" s="2">
        <v>0</v>
      </c>
      <c r="AT30" s="2">
        <v>0</v>
      </c>
      <c r="AU30" s="2">
        <v>0</v>
      </c>
      <c r="AY30" s="2">
        <v>150</v>
      </c>
      <c r="AZ30" s="2">
        <v>200</v>
      </c>
      <c r="BA30" s="2" t="s">
        <v>236</v>
      </c>
    </row>
    <row r="31" spans="1:53" x14ac:dyDescent="0.35">
      <c r="A31" s="4" t="s">
        <v>26</v>
      </c>
      <c r="B31" s="2" t="s">
        <v>0</v>
      </c>
      <c r="C31" s="2">
        <v>2024</v>
      </c>
      <c r="D31" s="2">
        <v>19.7</v>
      </c>
      <c r="E31" s="2">
        <v>2</v>
      </c>
      <c r="F31" s="2">
        <v>2</v>
      </c>
      <c r="G31" s="2">
        <v>40</v>
      </c>
      <c r="H31" s="2">
        <v>1</v>
      </c>
      <c r="I31" s="2">
        <f>138</f>
        <v>138</v>
      </c>
      <c r="J31" s="2">
        <v>0</v>
      </c>
      <c r="K31" s="2">
        <v>0</v>
      </c>
      <c r="O31" s="2">
        <v>1</v>
      </c>
      <c r="P31" s="2">
        <v>0</v>
      </c>
      <c r="R31" s="2" t="s">
        <v>237</v>
      </c>
      <c r="S31" s="2">
        <v>20</v>
      </c>
      <c r="T31" s="2">
        <v>1</v>
      </c>
      <c r="U31" s="2">
        <v>0</v>
      </c>
      <c r="W31" s="2" t="s">
        <v>238</v>
      </c>
      <c r="X31" s="2">
        <v>20</v>
      </c>
      <c r="Y31" s="2">
        <v>150</v>
      </c>
      <c r="Z31" s="2" t="s">
        <v>239</v>
      </c>
      <c r="AB31" s="2">
        <v>0</v>
      </c>
      <c r="AD31" s="2">
        <v>29.6</v>
      </c>
      <c r="AE31" s="3">
        <v>2</v>
      </c>
      <c r="AF31" s="3">
        <v>2</v>
      </c>
      <c r="AG31" s="3">
        <v>40</v>
      </c>
      <c r="AH31" s="3">
        <v>1</v>
      </c>
      <c r="AI31" s="3">
        <f>115</f>
        <v>115</v>
      </c>
      <c r="AJ31" s="3">
        <v>0</v>
      </c>
      <c r="AK31" s="3">
        <v>0</v>
      </c>
      <c r="AL31" s="3"/>
      <c r="AO31" s="2">
        <v>1</v>
      </c>
      <c r="AP31" s="2">
        <v>0</v>
      </c>
      <c r="AR31" s="2" t="s">
        <v>240</v>
      </c>
      <c r="AS31" s="2">
        <v>20</v>
      </c>
      <c r="AT31" s="2">
        <v>1</v>
      </c>
      <c r="AU31" s="2">
        <v>0</v>
      </c>
      <c r="AW31" s="2" t="s">
        <v>285</v>
      </c>
      <c r="AX31" s="2">
        <v>20</v>
      </c>
      <c r="AY31" s="2">
        <v>150</v>
      </c>
      <c r="AZ31" s="2">
        <v>150</v>
      </c>
      <c r="BA31" s="2" t="s">
        <v>241</v>
      </c>
    </row>
    <row r="32" spans="1:53" ht="25.5" customHeight="1" x14ac:dyDescent="0.35">
      <c r="A32" s="21" t="s">
        <v>27</v>
      </c>
      <c r="B32" s="17" t="s">
        <v>0</v>
      </c>
      <c r="C32" s="17">
        <v>2024</v>
      </c>
      <c r="D32" s="22"/>
      <c r="E32" s="17"/>
      <c r="F32" s="17"/>
      <c r="G32" s="17"/>
      <c r="H32" s="17"/>
      <c r="I32" s="17"/>
      <c r="J32" s="17"/>
      <c r="K32" s="17"/>
      <c r="L32" s="17"/>
      <c r="M32" s="17"/>
      <c r="N32" s="17"/>
      <c r="O32" s="17"/>
      <c r="P32" s="17"/>
      <c r="Q32" s="17"/>
      <c r="R32" s="17"/>
      <c r="S32" s="22"/>
      <c r="T32" s="17"/>
      <c r="U32" s="17"/>
      <c r="V32" s="17"/>
      <c r="W32" s="17"/>
      <c r="X32" s="17"/>
      <c r="Y32" s="17"/>
      <c r="Z32" s="17"/>
      <c r="AA32" s="17"/>
      <c r="AB32" s="17"/>
      <c r="AC32" s="17"/>
      <c r="AD32" s="22"/>
      <c r="AE32" s="22"/>
      <c r="AF32" s="22"/>
      <c r="AG32" s="22"/>
      <c r="AH32" s="22"/>
      <c r="AI32" s="20"/>
      <c r="AJ32" s="22"/>
      <c r="AK32" s="22"/>
      <c r="AL32" s="22"/>
      <c r="AM32" s="17"/>
      <c r="AN32" s="17"/>
      <c r="AO32" s="17"/>
      <c r="AP32" s="17"/>
      <c r="AQ32" s="17"/>
      <c r="AR32" s="17"/>
      <c r="AS32" s="17"/>
      <c r="AT32" s="17"/>
      <c r="AU32" s="17"/>
      <c r="AV32" s="17"/>
      <c r="AW32" s="17"/>
      <c r="AX32" s="17"/>
      <c r="AY32" s="17"/>
      <c r="AZ32" s="17"/>
      <c r="BA32" s="24"/>
    </row>
    <row r="33" spans="1:53" x14ac:dyDescent="0.35">
      <c r="A33" s="4" t="s">
        <v>28</v>
      </c>
      <c r="B33" s="2" t="s">
        <v>0</v>
      </c>
      <c r="C33" s="2">
        <v>2024</v>
      </c>
      <c r="D33" s="3">
        <v>21</v>
      </c>
      <c r="E33" s="2">
        <v>2</v>
      </c>
      <c r="F33" s="2">
        <v>2</v>
      </c>
      <c r="G33" s="2">
        <v>20</v>
      </c>
      <c r="H33" s="2">
        <v>0</v>
      </c>
      <c r="I33" s="2">
        <v>196</v>
      </c>
      <c r="J33" s="2">
        <v>1</v>
      </c>
      <c r="K33" s="2">
        <v>1</v>
      </c>
      <c r="L33" s="2">
        <v>10</v>
      </c>
      <c r="O33" s="2">
        <v>0</v>
      </c>
      <c r="P33" s="2">
        <v>0</v>
      </c>
      <c r="T33" s="2">
        <v>1</v>
      </c>
      <c r="U33" s="2">
        <v>1</v>
      </c>
      <c r="V33" s="2">
        <v>10</v>
      </c>
      <c r="Y33" s="2">
        <v>250</v>
      </c>
      <c r="Z33" s="2" t="s">
        <v>242</v>
      </c>
      <c r="AB33" s="2">
        <v>0</v>
      </c>
      <c r="AD33" s="3">
        <v>36</v>
      </c>
      <c r="AE33" s="3">
        <v>2</v>
      </c>
      <c r="AF33" s="3">
        <v>2</v>
      </c>
      <c r="AG33" s="3">
        <v>20</v>
      </c>
      <c r="AH33" s="3">
        <v>0</v>
      </c>
      <c r="AI33" s="32" t="s">
        <v>265</v>
      </c>
      <c r="AJ33" s="3">
        <v>1</v>
      </c>
      <c r="AK33" s="3">
        <v>1</v>
      </c>
      <c r="AL33" s="3">
        <f>20/2</f>
        <v>10</v>
      </c>
      <c r="AO33" s="2">
        <v>1</v>
      </c>
      <c r="AP33" s="2">
        <v>0</v>
      </c>
      <c r="AR33" s="2" t="s">
        <v>243</v>
      </c>
      <c r="AS33" s="2">
        <f>20/2</f>
        <v>10</v>
      </c>
      <c r="AT33" s="2">
        <v>0</v>
      </c>
      <c r="AU33" s="2">
        <v>0</v>
      </c>
      <c r="AY33" s="2">
        <v>200</v>
      </c>
      <c r="AZ33" s="2">
        <v>250</v>
      </c>
      <c r="BA33" s="2" t="s">
        <v>244</v>
      </c>
    </row>
    <row r="34" spans="1:53" ht="24.75" customHeight="1" x14ac:dyDescent="0.35">
      <c r="A34" s="4" t="s">
        <v>29</v>
      </c>
      <c r="B34" s="2" t="s">
        <v>0</v>
      </c>
      <c r="C34" s="2">
        <v>2024</v>
      </c>
      <c r="D34" s="3">
        <v>25</v>
      </c>
      <c r="E34" s="2">
        <v>8</v>
      </c>
      <c r="F34" s="2">
        <v>1</v>
      </c>
      <c r="G34" s="2">
        <f>30*(2/3)+35*(1/4)+35</f>
        <v>63.75</v>
      </c>
      <c r="H34" s="2">
        <v>1</v>
      </c>
      <c r="I34" s="2">
        <f>1591/1500*100</f>
        <v>106.06666666666666</v>
      </c>
      <c r="J34" s="2">
        <v>1</v>
      </c>
      <c r="K34" s="2">
        <v>0</v>
      </c>
      <c r="M34" s="30" t="s">
        <v>283</v>
      </c>
      <c r="O34" s="2">
        <v>1</v>
      </c>
      <c r="P34" s="2">
        <v>1</v>
      </c>
      <c r="R34" s="2" t="s">
        <v>245</v>
      </c>
      <c r="T34" s="2">
        <v>1</v>
      </c>
      <c r="U34" s="2">
        <v>1</v>
      </c>
      <c r="V34" s="2">
        <v>1</v>
      </c>
      <c r="Y34" s="2">
        <v>180</v>
      </c>
      <c r="Z34" s="30" t="s">
        <v>284</v>
      </c>
      <c r="AB34" s="2">
        <v>0</v>
      </c>
      <c r="AD34" s="3">
        <v>40</v>
      </c>
      <c r="AE34" s="3">
        <v>1</v>
      </c>
      <c r="AF34" s="3">
        <v>2</v>
      </c>
      <c r="AG34" s="3">
        <v>33.33</v>
      </c>
      <c r="AH34" s="3">
        <v>0</v>
      </c>
      <c r="AI34" s="32">
        <v>104</v>
      </c>
      <c r="AJ34" s="3">
        <v>1</v>
      </c>
      <c r="AK34" s="3">
        <v>1</v>
      </c>
      <c r="AL34" s="3">
        <v>33.33</v>
      </c>
      <c r="AO34" s="2">
        <v>0</v>
      </c>
      <c r="AP34" s="2">
        <v>0</v>
      </c>
      <c r="AT34" s="2">
        <v>0</v>
      </c>
      <c r="AU34" s="2">
        <v>0</v>
      </c>
      <c r="AY34" s="2">
        <v>150</v>
      </c>
      <c r="AZ34" s="2">
        <v>200</v>
      </c>
      <c r="BA34" s="2" t="s">
        <v>246</v>
      </c>
    </row>
    <row r="35" spans="1:53" x14ac:dyDescent="0.35">
      <c r="A35" s="4" t="s">
        <v>30</v>
      </c>
      <c r="B35" s="2" t="s">
        <v>0</v>
      </c>
      <c r="C35" s="2">
        <v>2024</v>
      </c>
      <c r="D35" s="3">
        <f>30</f>
        <v>30</v>
      </c>
      <c r="E35" s="2">
        <v>2</v>
      </c>
      <c r="F35" s="2">
        <v>2</v>
      </c>
      <c r="G35" s="2">
        <v>20</v>
      </c>
      <c r="H35" s="2">
        <v>0</v>
      </c>
      <c r="I35" s="2">
        <v>114.3</v>
      </c>
      <c r="J35" s="2">
        <v>0</v>
      </c>
      <c r="K35" s="2">
        <v>0</v>
      </c>
      <c r="O35" s="2">
        <v>1</v>
      </c>
      <c r="P35" s="2">
        <v>1</v>
      </c>
      <c r="Q35" s="2">
        <v>10</v>
      </c>
      <c r="R35" s="2" t="s">
        <v>247</v>
      </c>
      <c r="S35" s="2">
        <v>10</v>
      </c>
      <c r="Y35" s="2">
        <v>140</v>
      </c>
      <c r="Z35" s="2" t="s">
        <v>248</v>
      </c>
      <c r="AB35" s="2">
        <v>0</v>
      </c>
      <c r="AD35" s="3">
        <f>45</f>
        <v>45</v>
      </c>
      <c r="AE35" s="3">
        <v>2</v>
      </c>
      <c r="AF35" s="3">
        <v>2</v>
      </c>
      <c r="AG35" s="3">
        <v>20</v>
      </c>
      <c r="AH35" s="3">
        <v>0</v>
      </c>
      <c r="AI35" s="32">
        <v>167.3</v>
      </c>
      <c r="AJ35" s="3">
        <v>1</v>
      </c>
      <c r="AK35" s="3">
        <v>1</v>
      </c>
      <c r="AL35" s="3">
        <v>10</v>
      </c>
      <c r="AO35" s="2">
        <v>1</v>
      </c>
      <c r="AP35" s="2">
        <v>0</v>
      </c>
      <c r="AR35" s="18" t="s">
        <v>151</v>
      </c>
      <c r="AS35" s="2">
        <v>10</v>
      </c>
      <c r="AT35" s="2">
        <v>1</v>
      </c>
      <c r="AU35" s="2">
        <v>0</v>
      </c>
      <c r="AW35" s="18" t="s">
        <v>151</v>
      </c>
      <c r="AX35" s="2">
        <v>10</v>
      </c>
      <c r="AY35" s="2">
        <v>150</v>
      </c>
      <c r="AZ35" s="2">
        <v>300</v>
      </c>
      <c r="BA35" s="2" t="s">
        <v>249</v>
      </c>
    </row>
    <row r="36" spans="1:53" x14ac:dyDescent="0.35">
      <c r="A36" s="4" t="s">
        <v>31</v>
      </c>
      <c r="B36" s="2" t="s">
        <v>0</v>
      </c>
      <c r="C36" s="2">
        <v>2024</v>
      </c>
      <c r="D36" s="3">
        <f>17</f>
        <v>17</v>
      </c>
      <c r="E36" s="2">
        <v>1</v>
      </c>
      <c r="F36" s="2">
        <v>2</v>
      </c>
      <c r="G36" s="2">
        <v>10</v>
      </c>
      <c r="H36" s="2">
        <v>0</v>
      </c>
      <c r="I36" s="2">
        <f>57.6</f>
        <v>57.6</v>
      </c>
      <c r="J36" s="2">
        <v>0</v>
      </c>
      <c r="K36" s="2">
        <v>0</v>
      </c>
      <c r="O36" s="2">
        <v>1</v>
      </c>
      <c r="P36" s="2">
        <v>1</v>
      </c>
      <c r="Q36" s="2">
        <v>10</v>
      </c>
      <c r="T36" s="2">
        <v>0</v>
      </c>
      <c r="U36" s="2">
        <v>0</v>
      </c>
      <c r="Y36" s="2">
        <v>120</v>
      </c>
      <c r="Z36" s="2" t="s">
        <v>250</v>
      </c>
      <c r="AB36" s="2">
        <v>0</v>
      </c>
      <c r="AD36" s="3">
        <f>45</f>
        <v>45</v>
      </c>
      <c r="AE36" s="3">
        <v>1</v>
      </c>
      <c r="AF36" s="3">
        <v>2</v>
      </c>
      <c r="AG36" s="3">
        <v>25</v>
      </c>
      <c r="AH36" s="3">
        <v>0</v>
      </c>
      <c r="AI36" s="3" t="s">
        <v>251</v>
      </c>
      <c r="AJ36" s="3">
        <v>1</v>
      </c>
      <c r="AK36" s="3">
        <v>1</v>
      </c>
      <c r="AL36" s="3">
        <v>25</v>
      </c>
      <c r="AO36" s="2">
        <v>0</v>
      </c>
      <c r="AP36" s="2">
        <v>0</v>
      </c>
      <c r="AT36" s="2">
        <v>0</v>
      </c>
      <c r="AU36" s="2">
        <v>0</v>
      </c>
      <c r="AY36" s="2">
        <f>120</f>
        <v>120</v>
      </c>
      <c r="AZ36" s="2">
        <v>250</v>
      </c>
      <c r="BA36" s="2" t="s">
        <v>252</v>
      </c>
    </row>
    <row r="37" spans="1:53" ht="27.75" customHeight="1" x14ac:dyDescent="0.35">
      <c r="A37" s="4" t="s">
        <v>32</v>
      </c>
      <c r="B37" s="2" t="s">
        <v>0</v>
      </c>
      <c r="C37" s="2">
        <v>2024</v>
      </c>
      <c r="D37" s="3">
        <v>23</v>
      </c>
      <c r="E37" s="2">
        <v>1</v>
      </c>
      <c r="F37" s="2">
        <v>2</v>
      </c>
      <c r="G37" s="2">
        <f>(100/3)/4</f>
        <v>8.3333333333333339</v>
      </c>
      <c r="H37" s="2">
        <v>1</v>
      </c>
      <c r="I37" s="2">
        <v>126.37</v>
      </c>
      <c r="J37" s="2">
        <v>1</v>
      </c>
      <c r="K37" s="2">
        <v>0</v>
      </c>
      <c r="M37" s="30" t="s">
        <v>253</v>
      </c>
      <c r="N37" s="3">
        <f>((1/3)/4)* 100</f>
        <v>8.3333333333333321</v>
      </c>
      <c r="O37" s="2">
        <v>0</v>
      </c>
      <c r="P37" s="2">
        <v>0</v>
      </c>
      <c r="T37" s="2">
        <v>0</v>
      </c>
      <c r="U37" s="2">
        <v>0</v>
      </c>
      <c r="Y37" s="2">
        <v>200</v>
      </c>
      <c r="Z37" s="30" t="s">
        <v>254</v>
      </c>
      <c r="AB37" s="2">
        <v>0</v>
      </c>
      <c r="AD37" s="3">
        <v>41</v>
      </c>
      <c r="AE37" s="3">
        <v>2</v>
      </c>
      <c r="AF37" s="3">
        <v>2</v>
      </c>
      <c r="AG37" s="3">
        <v>20</v>
      </c>
      <c r="AH37" s="3">
        <v>0</v>
      </c>
      <c r="AI37" s="32">
        <f>26955/((26622+6656)/2)*100</f>
        <v>161.99891820421902</v>
      </c>
      <c r="AJ37" s="3">
        <v>1</v>
      </c>
      <c r="AK37" s="3">
        <v>1</v>
      </c>
      <c r="AL37" s="3">
        <f>20/2</f>
        <v>10</v>
      </c>
      <c r="AO37" s="2">
        <v>1</v>
      </c>
      <c r="AP37" s="2">
        <v>0</v>
      </c>
      <c r="AR37" s="2" t="s">
        <v>255</v>
      </c>
      <c r="AS37" s="2">
        <v>10</v>
      </c>
      <c r="AT37" s="2">
        <v>0</v>
      </c>
      <c r="AU37" s="2">
        <v>0</v>
      </c>
      <c r="AY37" s="2">
        <v>200</v>
      </c>
      <c r="AZ37" s="2">
        <v>200</v>
      </c>
      <c r="BA37" s="30" t="s">
        <v>256</v>
      </c>
    </row>
    <row r="38" spans="1:53" ht="16" x14ac:dyDescent="0.35">
      <c r="A38" s="4" t="s">
        <v>33</v>
      </c>
      <c r="B38" s="2" t="s">
        <v>0</v>
      </c>
      <c r="C38" s="2">
        <v>2024</v>
      </c>
      <c r="D38" s="2">
        <v>0</v>
      </c>
      <c r="E38" s="2">
        <v>3</v>
      </c>
      <c r="F38" s="2">
        <v>2</v>
      </c>
      <c r="G38" s="2">
        <f>3/4*33.33</f>
        <v>24.997499999999999</v>
      </c>
      <c r="H38" s="2">
        <v>1</v>
      </c>
      <c r="I38" s="2">
        <v>0</v>
      </c>
      <c r="J38" s="35">
        <v>0</v>
      </c>
      <c r="K38" s="35">
        <v>0</v>
      </c>
      <c r="L38" s="35"/>
      <c r="M38" s="35"/>
      <c r="N38" s="35"/>
      <c r="O38" s="35">
        <v>1</v>
      </c>
      <c r="P38" s="35">
        <v>0</v>
      </c>
      <c r="Q38" s="35"/>
      <c r="R38" s="35" t="s">
        <v>286</v>
      </c>
      <c r="S38" s="35" t="s">
        <v>260</v>
      </c>
      <c r="T38" s="35">
        <v>1</v>
      </c>
      <c r="U38" s="35">
        <v>0</v>
      </c>
      <c r="V38" s="35"/>
      <c r="W38" s="35" t="s">
        <v>287</v>
      </c>
      <c r="X38" s="35">
        <v>8.33</v>
      </c>
      <c r="Y38" s="2">
        <v>150</v>
      </c>
      <c r="Z38" s="2" t="s">
        <v>257</v>
      </c>
      <c r="AB38" s="2">
        <v>0</v>
      </c>
      <c r="AD38" s="2">
        <v>0</v>
      </c>
      <c r="AE38" s="3">
        <v>3</v>
      </c>
      <c r="AF38" s="3">
        <v>2</v>
      </c>
      <c r="AG38" s="3">
        <v>20</v>
      </c>
      <c r="AH38" s="3">
        <v>0</v>
      </c>
      <c r="AI38" s="32">
        <v>0</v>
      </c>
      <c r="AJ38" s="3">
        <v>1</v>
      </c>
      <c r="AK38" s="3">
        <v>1</v>
      </c>
      <c r="AL38" s="3">
        <v>6.67</v>
      </c>
      <c r="AO38" s="2">
        <v>1</v>
      </c>
      <c r="AP38" s="2">
        <v>1</v>
      </c>
      <c r="AQ38" s="2">
        <v>6.67</v>
      </c>
      <c r="AR38" s="18" t="s">
        <v>151</v>
      </c>
      <c r="AS38" s="2">
        <v>6.67</v>
      </c>
      <c r="AT38" s="2">
        <v>1</v>
      </c>
      <c r="AU38" s="2">
        <v>0</v>
      </c>
      <c r="AW38" s="18" t="s">
        <v>151</v>
      </c>
      <c r="AX38" s="2">
        <v>6.67</v>
      </c>
      <c r="AY38" s="2">
        <v>200</v>
      </c>
      <c r="AZ38" s="2">
        <v>250</v>
      </c>
      <c r="BA38" s="2" t="s">
        <v>258</v>
      </c>
    </row>
    <row r="39" spans="1:53" x14ac:dyDescent="0.35">
      <c r="A39" s="4" t="s">
        <v>34</v>
      </c>
      <c r="B39" s="2" t="s">
        <v>0</v>
      </c>
      <c r="C39" s="2">
        <v>2024</v>
      </c>
      <c r="D39" s="2">
        <v>23</v>
      </c>
      <c r="E39" s="2">
        <v>1</v>
      </c>
      <c r="F39" s="2">
        <v>2</v>
      </c>
      <c r="G39" s="2">
        <f>1/9*100</f>
        <v>11.111111111111111</v>
      </c>
      <c r="H39" s="2">
        <v>1</v>
      </c>
      <c r="I39" s="2">
        <f>110</f>
        <v>110</v>
      </c>
      <c r="J39" s="2">
        <v>0</v>
      </c>
      <c r="K39" s="2">
        <v>0</v>
      </c>
      <c r="M39" s="30"/>
      <c r="O39" s="2">
        <v>0</v>
      </c>
      <c r="P39" s="2">
        <v>0</v>
      </c>
      <c r="R39" s="30"/>
      <c r="T39" s="2">
        <v>0</v>
      </c>
      <c r="U39" s="2">
        <v>0</v>
      </c>
      <c r="Y39" s="2">
        <v>200</v>
      </c>
      <c r="Z39" s="2" t="s">
        <v>282</v>
      </c>
      <c r="AB39" s="2">
        <v>0</v>
      </c>
      <c r="AD39" s="2">
        <v>46</v>
      </c>
      <c r="AE39" s="3">
        <v>3</v>
      </c>
      <c r="AF39" s="3">
        <v>2</v>
      </c>
      <c r="AG39" s="3">
        <v>25</v>
      </c>
      <c r="AH39" s="3">
        <v>0</v>
      </c>
      <c r="AI39" s="32">
        <v>199.69</v>
      </c>
      <c r="AJ39" s="3">
        <v>1</v>
      </c>
      <c r="AK39" s="3">
        <v>1</v>
      </c>
      <c r="AL39" s="3">
        <f>25/3</f>
        <v>8.3333333333333339</v>
      </c>
      <c r="AO39" s="2">
        <v>1</v>
      </c>
      <c r="AP39" s="2">
        <v>0</v>
      </c>
      <c r="AR39" s="18" t="s">
        <v>259</v>
      </c>
      <c r="AS39" s="2" t="s">
        <v>260</v>
      </c>
      <c r="AT39" s="2">
        <v>1</v>
      </c>
      <c r="AU39" s="2">
        <v>0</v>
      </c>
      <c r="AW39" s="18" t="s">
        <v>261</v>
      </c>
      <c r="AX39" s="2">
        <f>25*(1/3)</f>
        <v>8.3333333333333321</v>
      </c>
      <c r="AY39" s="2">
        <v>200</v>
      </c>
      <c r="AZ39" s="2">
        <v>300</v>
      </c>
      <c r="BA39" s="2" t="s">
        <v>262</v>
      </c>
    </row>
    <row r="40" spans="1:53" ht="25.5" customHeight="1" x14ac:dyDescent="0.35">
      <c r="A40" s="4" t="s">
        <v>35</v>
      </c>
      <c r="B40" s="2" t="s">
        <v>0</v>
      </c>
      <c r="C40" s="2">
        <v>2024</v>
      </c>
      <c r="D40" s="3">
        <v>30</v>
      </c>
      <c r="E40" s="2">
        <v>2</v>
      </c>
      <c r="F40" s="2">
        <v>2</v>
      </c>
      <c r="G40" s="2">
        <v>20</v>
      </c>
      <c r="H40" s="2">
        <v>1</v>
      </c>
      <c r="I40" s="2">
        <v>124.184</v>
      </c>
      <c r="J40" s="2">
        <v>1</v>
      </c>
      <c r="K40" s="2">
        <v>1</v>
      </c>
      <c r="L40" s="2">
        <v>10</v>
      </c>
      <c r="O40" s="2">
        <v>1</v>
      </c>
      <c r="P40" s="2">
        <v>0</v>
      </c>
      <c r="R40" s="2" t="s">
        <v>263</v>
      </c>
      <c r="S40" s="2">
        <v>10</v>
      </c>
      <c r="T40" s="2">
        <v>0</v>
      </c>
      <c r="U40" s="2">
        <v>0</v>
      </c>
      <c r="Y40" s="2">
        <v>150</v>
      </c>
      <c r="Z40" s="30" t="s">
        <v>264</v>
      </c>
      <c r="AB40" s="2">
        <v>0</v>
      </c>
      <c r="AD40" s="3">
        <v>40</v>
      </c>
      <c r="AE40" s="3">
        <v>1</v>
      </c>
      <c r="AF40" s="3">
        <v>2</v>
      </c>
      <c r="AG40" s="3">
        <v>20</v>
      </c>
      <c r="AH40" s="3">
        <v>0</v>
      </c>
      <c r="AI40" s="32" t="s">
        <v>265</v>
      </c>
      <c r="AJ40" s="3">
        <v>1</v>
      </c>
      <c r="AK40" s="3">
        <v>1</v>
      </c>
      <c r="AL40" s="3">
        <v>20</v>
      </c>
      <c r="AM40" s="30"/>
      <c r="AO40" s="2">
        <v>0</v>
      </c>
      <c r="AP40" s="2">
        <v>0</v>
      </c>
      <c r="AT40" s="2">
        <v>0</v>
      </c>
      <c r="AU40" s="2">
        <v>0</v>
      </c>
      <c r="AY40" s="2">
        <v>200</v>
      </c>
      <c r="AZ40" s="2">
        <v>200</v>
      </c>
      <c r="BA40" s="30" t="s">
        <v>266</v>
      </c>
    </row>
    <row r="41" spans="1:53" x14ac:dyDescent="0.35">
      <c r="A41" s="4" t="s">
        <v>36</v>
      </c>
      <c r="B41" s="2" t="s">
        <v>0</v>
      </c>
      <c r="C41" s="2">
        <v>2024</v>
      </c>
      <c r="D41" s="2">
        <f>21.8+14.5</f>
        <v>36.299999999999997</v>
      </c>
      <c r="E41" s="2">
        <v>3</v>
      </c>
      <c r="F41" s="2">
        <v>1</v>
      </c>
      <c r="G41" s="3">
        <v>100</v>
      </c>
      <c r="H41" s="2">
        <v>0</v>
      </c>
      <c r="I41" s="2">
        <f>((135+85)/2)*((0.78+1.3)*0.5)</f>
        <v>114.4</v>
      </c>
      <c r="J41" s="2">
        <v>1</v>
      </c>
      <c r="K41" s="2">
        <v>1</v>
      </c>
      <c r="O41" s="2">
        <v>1</v>
      </c>
      <c r="P41" s="2">
        <v>0</v>
      </c>
      <c r="R41" s="18" t="s">
        <v>267</v>
      </c>
      <c r="T41" s="2">
        <v>1</v>
      </c>
      <c r="U41" s="2">
        <v>1</v>
      </c>
      <c r="W41" s="18" t="s">
        <v>268</v>
      </c>
      <c r="Y41" s="2">
        <v>200</v>
      </c>
      <c r="Z41" s="2" t="s">
        <v>269</v>
      </c>
      <c r="AB41" s="2">
        <v>0</v>
      </c>
      <c r="AD41" s="2">
        <v>29.5</v>
      </c>
      <c r="AE41" s="3">
        <v>0</v>
      </c>
      <c r="AF41" s="3"/>
      <c r="AG41" s="3">
        <v>0</v>
      </c>
      <c r="AH41" s="3"/>
      <c r="AI41" s="32">
        <v>138.25</v>
      </c>
      <c r="AJ41" s="3">
        <v>0</v>
      </c>
      <c r="AK41" s="3">
        <v>0</v>
      </c>
      <c r="AL41" s="3"/>
      <c r="AO41" s="2">
        <v>0</v>
      </c>
      <c r="AP41" s="2">
        <v>0</v>
      </c>
      <c r="AT41" s="2">
        <v>0</v>
      </c>
      <c r="AU41" s="2">
        <v>0</v>
      </c>
      <c r="AY41" s="2">
        <v>175</v>
      </c>
      <c r="AZ41" s="2">
        <v>250</v>
      </c>
      <c r="BA41" s="2" t="s">
        <v>270</v>
      </c>
    </row>
    <row r="42" spans="1:53" ht="23.25" customHeight="1" x14ac:dyDescent="0.35">
      <c r="A42" s="4" t="s">
        <v>37</v>
      </c>
      <c r="B42" s="2" t="s">
        <v>0</v>
      </c>
      <c r="C42" s="2">
        <v>2024</v>
      </c>
      <c r="D42" s="3">
        <v>16</v>
      </c>
      <c r="E42" s="2">
        <v>0</v>
      </c>
      <c r="G42" s="2">
        <v>0</v>
      </c>
      <c r="I42" s="2">
        <v>125</v>
      </c>
      <c r="J42" s="2">
        <v>0</v>
      </c>
      <c r="K42" s="2">
        <v>0</v>
      </c>
      <c r="O42" s="2">
        <v>0</v>
      </c>
      <c r="P42" s="2">
        <v>0</v>
      </c>
      <c r="T42" s="2">
        <v>0</v>
      </c>
      <c r="U42" s="2">
        <v>0</v>
      </c>
      <c r="Y42" s="2">
        <v>125</v>
      </c>
      <c r="Z42" s="2" t="s">
        <v>271</v>
      </c>
      <c r="AB42" s="2">
        <v>0</v>
      </c>
      <c r="AD42" s="3">
        <v>56</v>
      </c>
      <c r="AE42" s="3">
        <v>6</v>
      </c>
      <c r="AF42" s="3">
        <v>2</v>
      </c>
      <c r="AG42" s="3">
        <v>25</v>
      </c>
      <c r="AH42" s="3">
        <v>0</v>
      </c>
      <c r="AI42" s="32">
        <v>65.53</v>
      </c>
      <c r="AJ42" s="3">
        <v>1</v>
      </c>
      <c r="AK42" s="2">
        <v>1</v>
      </c>
      <c r="AL42" s="2">
        <v>8.75</v>
      </c>
      <c r="AM42" s="30" t="s">
        <v>280</v>
      </c>
      <c r="AN42" s="2">
        <v>2.5</v>
      </c>
      <c r="AO42" s="2">
        <v>1</v>
      </c>
      <c r="AP42" s="2">
        <v>1</v>
      </c>
      <c r="AQ42" s="2">
        <f>15*0.25</f>
        <v>3.75</v>
      </c>
      <c r="AR42" s="18" t="s">
        <v>272</v>
      </c>
      <c r="AS42" s="2" t="s">
        <v>273</v>
      </c>
      <c r="AT42" s="2">
        <v>1</v>
      </c>
      <c r="AU42" s="2">
        <v>0</v>
      </c>
      <c r="AW42" s="18" t="s">
        <v>102</v>
      </c>
      <c r="AX42" s="2">
        <v>2.5</v>
      </c>
      <c r="AY42" s="2">
        <v>200</v>
      </c>
      <c r="AZ42" s="2">
        <v>250</v>
      </c>
      <c r="BA42" s="30" t="s">
        <v>281</v>
      </c>
    </row>
    <row r="43" spans="1:53" ht="34.5" customHeight="1" x14ac:dyDescent="0.35">
      <c r="A43" s="4" t="s">
        <v>38</v>
      </c>
      <c r="B43" s="2" t="s">
        <v>0</v>
      </c>
      <c r="C43" s="2">
        <v>2024</v>
      </c>
      <c r="D43" s="3">
        <v>20</v>
      </c>
      <c r="E43" s="3">
        <v>0</v>
      </c>
      <c r="F43" s="3"/>
      <c r="G43" s="2">
        <v>0</v>
      </c>
      <c r="I43" s="2">
        <f>(420000/(262500))*100</f>
        <v>160</v>
      </c>
      <c r="J43" s="2">
        <v>0</v>
      </c>
      <c r="K43" s="2">
        <v>0</v>
      </c>
      <c r="O43" s="2">
        <v>0</v>
      </c>
      <c r="P43" s="2">
        <v>0</v>
      </c>
      <c r="T43" s="2">
        <v>0</v>
      </c>
      <c r="U43" s="2">
        <v>0</v>
      </c>
      <c r="Y43" s="2">
        <v>200</v>
      </c>
      <c r="Z43" s="30" t="s">
        <v>274</v>
      </c>
      <c r="AB43" s="2">
        <v>0</v>
      </c>
      <c r="AD43" s="3">
        <v>60</v>
      </c>
      <c r="AE43" s="3">
        <v>6</v>
      </c>
      <c r="AF43" s="3">
        <v>1</v>
      </c>
      <c r="AG43" s="3">
        <v>100</v>
      </c>
      <c r="AH43" s="3">
        <v>0</v>
      </c>
      <c r="AI43" s="32">
        <v>100</v>
      </c>
      <c r="AJ43" s="3">
        <v>1</v>
      </c>
      <c r="AK43" s="2">
        <v>1</v>
      </c>
      <c r="AO43" s="2">
        <v>1</v>
      </c>
      <c r="AP43" s="2">
        <v>0</v>
      </c>
      <c r="AR43" s="18" t="s">
        <v>207</v>
      </c>
      <c r="AT43" s="2">
        <v>1</v>
      </c>
      <c r="AU43" s="2">
        <v>0</v>
      </c>
      <c r="AW43" s="18" t="s">
        <v>207</v>
      </c>
      <c r="AY43" s="2">
        <v>125</v>
      </c>
      <c r="AZ43" s="2" t="s">
        <v>279</v>
      </c>
      <c r="BA43" s="30" t="s">
        <v>275</v>
      </c>
    </row>
  </sheetData>
  <pageMargins left="0.7" right="0.7" top="0.75" bottom="0.75" header="0.3" footer="0.3"/>
  <pageSetup paperSize="9" orientation="portrait" verticalDpi="0"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02_Data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Philipp Pauli</dc:creator>
  <cp:keywords/>
  <dc:description/>
  <cp:lastModifiedBy>Sebastian Fröhle</cp:lastModifiedBy>
  <cp:revision/>
  <dcterms:created xsi:type="dcterms:W3CDTF">2025-04-07T09:56:52Z</dcterms:created>
  <dcterms:modified xsi:type="dcterms:W3CDTF">2026-06-19T11:53:52Z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2025-05-15T15:10:32Z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80469016-2e8e-4de5-bed0-3130ecc070fa</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ies>
</file>